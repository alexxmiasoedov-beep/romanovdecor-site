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тои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"/>
    <numFmt numFmtId="167" formatCode="0.0&quot;x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F5EFE2"/>
      </patternFill>
    </fill>
    <fill>
      <patternFill patternType="solid">
        <fgColor rgb="00FFFF00"/>
      </patternFill>
    </fill>
    <fill>
      <patternFill patternType="solid">
        <fgColor rgb="00F0F5E0"/>
      </patternFill>
    </fill>
    <fill>
      <patternFill patternType="solid">
        <fgColor rgb="00FDEED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2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Romanov Decor</author>
  </authors>
  <commentList>
    <comment ref="E14" authorId="0" shapeId="0">
      <text>
        <t>Исследование 09, раздел 5: «ИТОГО VC — $3,53–4,69, принимаем $4,20».</t>
      </text>
    </comment>
    <comment ref="F50" authorId="0" shapeId="0">
      <text>
        <t>Подставьте нужную строку из блока 4.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Себестоимость микроцемента — сводная модель</t>
        </is>
      </c>
    </row>
    <row r="2">
      <c r="A2" s="2" t="inlineStr">
        <is>
          <t>Источники: переменные затраты — исследование 09-экономика-рынок-и-база-РБ.md, раздел «Точка безубыточности»; покупная альтернатива — КП Foshan Wanlei от 27.07.2026 на 1000 м². Ветка business-plan-planning.</t>
        </is>
      </c>
    </row>
    <row r="3">
      <c r="A3" s="2" t="inlineStr">
        <is>
          <t>Жёлтые ячейки заполняете вы. Синий шрифт — ввод руками, чёрный — формула.</t>
        </is>
      </c>
    </row>
    <row r="5" ht="18" customHeight="1">
      <c r="A5" s="3" t="inlineStr">
        <is>
          <t>1 · ПЕРЕМЕННАЯ СЕБЕСТОИМОСТЬ СВОЕГО ПРОИЗВОДСТВА, на 1 м²</t>
        </is>
      </c>
    </row>
    <row r="6">
      <c r="A6" s="4" t="inlineStr">
        <is>
          <t>Компонент</t>
        </is>
      </c>
      <c r="B6" s="4" t="inlineStr">
        <is>
          <t>Расход</t>
        </is>
      </c>
      <c r="C6" s="4" t="inlineStr">
        <is>
          <t>Ед.</t>
        </is>
      </c>
      <c r="D6" s="4" t="inlineStr">
        <is>
          <t>Цена за ед., $</t>
        </is>
      </c>
      <c r="E6" s="4" t="inlineStr">
        <is>
          <t>$ на 1 м²</t>
        </is>
      </c>
      <c r="F6" s="4" t="inlineStr">
        <is>
          <t>Доля</t>
        </is>
      </c>
    </row>
    <row r="7">
      <c r="A7" s="5" t="inlineStr">
        <is>
          <t>Сухая смесь, сырьё</t>
        </is>
      </c>
      <c r="B7" s="6" t="n">
        <v>2</v>
      </c>
      <c r="C7" s="7" t="inlineStr">
        <is>
          <t>кг</t>
        </is>
      </c>
      <c r="D7" s="8" t="n">
        <v>0.25</v>
      </c>
      <c r="E7" s="9">
        <f>B7*D7</f>
        <v/>
      </c>
      <c r="F7" s="10">
        <f>E7/E14</f>
        <v/>
      </c>
    </row>
    <row r="8">
      <c r="A8" s="5" t="inlineStr">
        <is>
          <t>Жидкость затворения</t>
        </is>
      </c>
      <c r="B8" s="6" t="n">
        <v>0.6</v>
      </c>
      <c r="C8" s="7" t="inlineStr">
        <is>
          <t>кг</t>
        </is>
      </c>
      <c r="D8" s="8" t="n">
        <v>0.5</v>
      </c>
      <c r="E8" s="9">
        <f>B8*D8</f>
        <v/>
      </c>
      <c r="F8" s="10">
        <f>E8/E14</f>
        <v/>
      </c>
    </row>
    <row r="9">
      <c r="A9" s="5" t="inlineStr">
        <is>
          <t>Грунт</t>
        </is>
      </c>
      <c r="B9" s="6" t="n">
        <v>0.1</v>
      </c>
      <c r="C9" s="7" t="inlineStr">
        <is>
          <t>кг</t>
        </is>
      </c>
      <c r="D9" s="8" t="n">
        <v>1.5</v>
      </c>
      <c r="E9" s="9">
        <f>B9*D9</f>
        <v/>
      </c>
      <c r="F9" s="10">
        <f>E9/E14</f>
        <v/>
      </c>
    </row>
    <row r="10">
      <c r="A10" s="5" t="inlineStr">
        <is>
          <t>Лак 2К ПУ — покупной</t>
        </is>
      </c>
      <c r="B10" s="6" t="n">
        <v>0.15</v>
      </c>
      <c r="C10" s="7" t="inlineStr">
        <is>
          <t>кг</t>
        </is>
      </c>
      <c r="D10" s="8" t="n">
        <v>15</v>
      </c>
      <c r="E10" s="9">
        <f>B10*D10</f>
        <v/>
      </c>
      <c r="F10" s="10">
        <f>E10/E14</f>
        <v/>
      </c>
    </row>
    <row r="11">
      <c r="A11" s="5" t="inlineStr">
        <is>
          <t>Тара: ведро 8 кг на 2 кг/м²</t>
        </is>
      </c>
      <c r="B11" s="5" t="inlineStr"/>
      <c r="C11" s="5" t="inlineStr"/>
      <c r="D11" s="5" t="inlineStr"/>
      <c r="E11" s="8" t="n">
        <v>0.34</v>
      </c>
      <c r="F11" s="10">
        <f>E11/E14</f>
        <v/>
      </c>
    </row>
    <row r="12">
      <c r="A12" s="5" t="inlineStr">
        <is>
          <t>Тара: канистра, флакон лака, этикетки, короб</t>
        </is>
      </c>
      <c r="B12" s="5" t="inlineStr"/>
      <c r="C12" s="5" t="inlineStr"/>
      <c r="D12" s="5" t="inlineStr"/>
      <c r="E12" s="8" t="n">
        <v>0.37</v>
      </c>
      <c r="F12" s="10">
        <f>E12/E14</f>
        <v/>
      </c>
    </row>
    <row r="13">
      <c r="A13" s="5" t="inlineStr">
        <is>
          <t>Брак и переделки, 5 %</t>
        </is>
      </c>
      <c r="B13" s="5" t="inlineStr"/>
      <c r="C13" s="5" t="inlineStr"/>
      <c r="D13" s="5" t="inlineStr"/>
      <c r="E13" s="8" t="n">
        <v>0.2</v>
      </c>
      <c r="F13" s="10">
        <f>E13/E14</f>
        <v/>
      </c>
    </row>
    <row r="14">
      <c r="A14" s="11" t="inlineStr">
        <is>
          <t>ИТОГО переменные затраты (VC)</t>
        </is>
      </c>
      <c r="B14" s="5" t="inlineStr"/>
      <c r="C14" s="5" t="inlineStr"/>
      <c r="D14" s="5" t="inlineStr"/>
      <c r="E14" s="12">
        <f>SUM(E7:E13)</f>
        <v/>
      </c>
      <c r="F14" s="11" t="inlineStr"/>
    </row>
    <row r="16" ht="18" customHeight="1">
      <c r="A16" s="3" t="inlineStr">
        <is>
          <t>2 · ПОСТОЯННЫЕ ЗАТРАТЫ ЗАВОДА, в месяц</t>
        </is>
      </c>
    </row>
    <row r="17">
      <c r="A17" s="11" t="inlineStr">
        <is>
          <t>Статья</t>
        </is>
      </c>
      <c r="B17" s="5" t="inlineStr"/>
      <c r="C17" s="5" t="inlineStr"/>
      <c r="D17" s="5" t="inlineStr"/>
      <c r="E17" s="5" t="inlineStr"/>
      <c r="F17" s="4" t="inlineStr">
        <is>
          <t>$ в месяц</t>
        </is>
      </c>
    </row>
    <row r="18">
      <c r="A18" s="5" t="inlineStr">
        <is>
          <t>Аренда 200 м² отапливаемая</t>
        </is>
      </c>
      <c r="B18" s="5" t="inlineStr"/>
      <c r="C18" s="5" t="inlineStr"/>
      <c r="D18" s="5" t="inlineStr"/>
      <c r="E18" s="5" t="inlineStr"/>
      <c r="F18" s="13" t="n">
        <v>820</v>
      </c>
    </row>
    <row r="19">
      <c r="A19" s="5" t="inlineStr">
        <is>
          <t>ФОТ 3,5 человека брутто с налогами</t>
        </is>
      </c>
      <c r="B19" s="5" t="inlineStr"/>
      <c r="C19" s="5" t="inlineStr"/>
      <c r="D19" s="5" t="inlineStr"/>
      <c r="E19" s="5" t="inlineStr"/>
      <c r="F19" s="13" t="n">
        <v>4100</v>
      </c>
    </row>
    <row r="20">
      <c r="A20" s="5" t="inlineStr">
        <is>
          <t>Энергия, тепло</t>
        </is>
      </c>
      <c r="B20" s="5" t="inlineStr"/>
      <c r="C20" s="5" t="inlineStr"/>
      <c r="D20" s="5" t="inlineStr"/>
      <c r="E20" s="5" t="inlineStr"/>
      <c r="F20" s="13" t="n">
        <v>410</v>
      </c>
    </row>
    <row r="21">
      <c r="A21" s="5" t="inlineStr">
        <is>
          <t>Амортизация оборудования</t>
        </is>
      </c>
      <c r="B21" s="5" t="inlineStr"/>
      <c r="C21" s="5" t="inlineStr"/>
      <c r="D21" s="5" t="inlineStr"/>
      <c r="E21" s="5" t="inlineStr"/>
      <c r="F21" s="13" t="n">
        <v>512</v>
      </c>
    </row>
    <row r="22">
      <c r="A22" s="5" t="inlineStr">
        <is>
          <t>Амортизация сертификации</t>
        </is>
      </c>
      <c r="B22" s="5" t="inlineStr"/>
      <c r="C22" s="5" t="inlineStr"/>
      <c r="D22" s="5" t="inlineStr"/>
      <c r="E22" s="5" t="inlineStr"/>
      <c r="F22" s="13" t="n">
        <v>137</v>
      </c>
    </row>
    <row r="23">
      <c r="A23" s="5" t="inlineStr">
        <is>
          <t>Лаборатория, ОТК, расходники</t>
        </is>
      </c>
      <c r="B23" s="5" t="inlineStr"/>
      <c r="C23" s="5" t="inlineStr"/>
      <c r="D23" s="5" t="inlineStr"/>
      <c r="E23" s="5" t="inlineStr"/>
      <c r="F23" s="13" t="n">
        <v>171</v>
      </c>
    </row>
    <row r="24">
      <c r="A24" s="5" t="inlineStr">
        <is>
          <t>Бухгалтерия, банк, ПО, связь</t>
        </is>
      </c>
      <c r="B24" s="5" t="inlineStr"/>
      <c r="C24" s="5" t="inlineStr"/>
      <c r="D24" s="5" t="inlineStr"/>
      <c r="E24" s="5" t="inlineStr"/>
      <c r="F24" s="13" t="n">
        <v>239</v>
      </c>
    </row>
    <row r="25">
      <c r="A25" s="5" t="inlineStr">
        <is>
          <t>Маркетинг: веера, выкрасы, каталоги</t>
        </is>
      </c>
      <c r="B25" s="5" t="inlineStr"/>
      <c r="C25" s="5" t="inlineStr"/>
      <c r="D25" s="5" t="inlineStr"/>
      <c r="E25" s="5" t="inlineStr"/>
      <c r="F25" s="13" t="n">
        <v>512</v>
      </c>
    </row>
    <row r="26">
      <c r="A26" s="11" t="inlineStr">
        <is>
          <t>ИТОГО постоянные (FC)</t>
        </is>
      </c>
      <c r="B26" s="5" t="inlineStr"/>
      <c r="C26" s="5" t="inlineStr"/>
      <c r="D26" s="5" t="inlineStr"/>
      <c r="E26" s="5" t="inlineStr"/>
      <c r="F26" s="14">
        <f>SUM(F18:F25)</f>
        <v/>
      </c>
    </row>
    <row r="28" ht="18" customHeight="1">
      <c r="A28" s="3" t="inlineStr">
        <is>
          <t>3 · ПОЛНАЯ СЕБЕСТОИМОСТЬ ПРОИЗВОДСТВА — зависит от загрузки</t>
        </is>
      </c>
    </row>
    <row r="29">
      <c r="A29" s="11" t="inlineStr">
        <is>
          <t>Объём в месяц, м²</t>
        </is>
      </c>
      <c r="B29" s="4" t="inlineStr">
        <is>
          <t>FC на 1 м²</t>
        </is>
      </c>
      <c r="C29" s="4" t="inlineStr">
        <is>
          <t>VC на 1 м²</t>
        </is>
      </c>
      <c r="D29" s="4" t="inlineStr">
        <is>
          <t>ПОЛНАЯ, $/м²</t>
        </is>
      </c>
      <c r="E29" s="5" t="inlineStr"/>
      <c r="F29" s="5" t="inlineStr"/>
    </row>
    <row r="30">
      <c r="A30" s="15" t="n">
        <v>300</v>
      </c>
      <c r="B30" s="16">
        <f>F26/A30</f>
        <v/>
      </c>
      <c r="C30" s="16">
        <f>E14</f>
        <v/>
      </c>
      <c r="D30" s="12">
        <f>B30+C30</f>
        <v/>
      </c>
      <c r="E30" s="5" t="inlineStr"/>
      <c r="F30" s="5" t="inlineStr"/>
    </row>
    <row r="31">
      <c r="A31" s="15" t="n">
        <v>500</v>
      </c>
      <c r="B31" s="16">
        <f>F26/A31</f>
        <v/>
      </c>
      <c r="C31" s="16">
        <f>E14</f>
        <v/>
      </c>
      <c r="D31" s="12">
        <f>B31+C31</f>
        <v/>
      </c>
      <c r="E31" s="5" t="inlineStr"/>
      <c r="F31" s="5" t="inlineStr"/>
    </row>
    <row r="32">
      <c r="A32" s="15" t="n">
        <v>640</v>
      </c>
      <c r="B32" s="16">
        <f>F26/A32</f>
        <v/>
      </c>
      <c r="C32" s="16">
        <f>E14</f>
        <v/>
      </c>
      <c r="D32" s="12">
        <f>B32+C32</f>
        <v/>
      </c>
      <c r="E32" s="5" t="inlineStr"/>
      <c r="F32" s="5" t="inlineStr"/>
    </row>
    <row r="33">
      <c r="A33" s="15" t="n">
        <v>1000</v>
      </c>
      <c r="B33" s="16">
        <f>F26/A33</f>
        <v/>
      </c>
      <c r="C33" s="16">
        <f>E14</f>
        <v/>
      </c>
      <c r="D33" s="12">
        <f>B33+C33</f>
        <v/>
      </c>
      <c r="E33" s="5" t="inlineStr"/>
      <c r="F33" s="5" t="inlineStr"/>
    </row>
    <row r="34">
      <c r="A34" s="15" t="n">
        <v>1500</v>
      </c>
      <c r="B34" s="16">
        <f>F26/A34</f>
        <v/>
      </c>
      <c r="C34" s="16">
        <f>E14</f>
        <v/>
      </c>
      <c r="D34" s="12">
        <f>B34+C34</f>
        <v/>
      </c>
      <c r="E34" s="5" t="inlineStr"/>
      <c r="F34" s="5" t="inlineStr"/>
    </row>
    <row r="35">
      <c r="A35" s="15" t="n">
        <v>2500</v>
      </c>
      <c r="B35" s="16">
        <f>F26/A35</f>
        <v/>
      </c>
      <c r="C35" s="16">
        <f>E14</f>
        <v/>
      </c>
      <c r="D35" s="12">
        <f>B35+C35</f>
        <v/>
      </c>
      <c r="E35" s="5" t="inlineStr"/>
      <c r="F35" s="5" t="inlineStr"/>
    </row>
    <row r="37" ht="18" customHeight="1">
      <c r="A37" s="3" t="inlineStr">
        <is>
          <t>4 · ЧТО МЕТР МАТЕРИАЛА СТОИТ ПРИ РАЗНЫХ СЦЕНАРИЯХ</t>
        </is>
      </c>
    </row>
    <row r="38">
      <c r="A38" s="11" t="inlineStr">
        <is>
          <t>Сценарий снабжения</t>
        </is>
      </c>
      <c r="B38" s="5" t="inlineStr"/>
      <c r="C38" s="5" t="inlineStr"/>
      <c r="D38" s="4" t="inlineStr">
        <is>
          <t>Материал, $/м²</t>
        </is>
      </c>
      <c r="E38" s="4" t="inlineStr">
        <is>
          <t>Наценка к цене продажи</t>
        </is>
      </c>
      <c r="F38" s="11" t="inlineStr"/>
    </row>
    <row r="39">
      <c r="A39" s="5" t="inlineStr">
        <is>
          <t>Своё производство, только переменные</t>
        </is>
      </c>
      <c r="B39" s="5" t="inlineStr"/>
      <c r="C39" s="5" t="inlineStr"/>
      <c r="D39" s="9">
        <f>E14</f>
        <v/>
      </c>
      <c r="E39" s="17">
        <f>IF(D39=0,0,D45/D39)</f>
        <v/>
      </c>
      <c r="F39" s="5" t="inlineStr"/>
    </row>
    <row r="40">
      <c r="A40" s="5" t="inlineStr">
        <is>
          <t>Своё производство, полная при 640 м²/мес</t>
        </is>
      </c>
      <c r="B40" s="5" t="inlineStr"/>
      <c r="C40" s="5" t="inlineStr"/>
      <c r="D40" s="9">
        <f>E14+F26/640</f>
        <v/>
      </c>
      <c r="E40" s="17">
        <f>IF(D40=0,0,D45/D40)</f>
        <v/>
      </c>
      <c r="F40" s="5" t="inlineStr"/>
    </row>
    <row r="41">
      <c r="A41" s="5" t="inlineStr">
        <is>
          <t>Покупная система Wanlei, франко-Минск</t>
        </is>
      </c>
      <c r="B41" s="5" t="inlineStr"/>
      <c r="C41" s="5" t="inlineStr"/>
      <c r="D41" s="8" t="n">
        <v>13.66</v>
      </c>
      <c r="E41" s="17">
        <f>IF(D41=0,0,D45/D41)</f>
        <v/>
      </c>
      <c r="F41" s="5" t="inlineStr"/>
    </row>
    <row r="42">
      <c r="A42" s="5" t="inlineStr">
        <is>
          <t>Цифра из действующей памятки по ценам</t>
        </is>
      </c>
      <c r="B42" s="5" t="inlineStr"/>
      <c r="C42" s="5" t="inlineStr"/>
      <c r="D42" s="8" t="n">
        <v>15</v>
      </c>
      <c r="E42" s="17">
        <f>IF(D42=0,0,D45/D42)</f>
        <v/>
      </c>
      <c r="F42" s="5" t="inlineStr"/>
    </row>
    <row r="43">
      <c r="A43" s="5" t="inlineStr">
        <is>
          <t>Розница Remmers Epoxy BS 3000</t>
        </is>
      </c>
      <c r="B43" s="5" t="inlineStr"/>
      <c r="C43" s="5" t="inlineStr"/>
      <c r="D43" s="8" t="n">
        <v>57</v>
      </c>
      <c r="E43" s="17">
        <f>IF(D43=0,0,D45/D43)</f>
        <v/>
      </c>
      <c r="F43" s="5" t="inlineStr"/>
    </row>
    <row r="45">
      <c r="A45" s="11" t="inlineStr">
        <is>
          <t>Цена продажи материала в КП, $/м²</t>
        </is>
      </c>
      <c r="B45" s="5" t="inlineStr"/>
      <c r="C45" s="5" t="inlineStr"/>
      <c r="D45" s="8" t="n">
        <v>37.65</v>
      </c>
    </row>
    <row r="47" ht="18" customHeight="1">
      <c r="A47" s="3" t="inlineStr">
        <is>
          <t>5 · ЭКОНОМИКА ОБЪЕКТА СТУДИИ, на 1 м² стен</t>
        </is>
      </c>
    </row>
    <row r="48">
      <c r="A48" s="11" t="inlineStr">
        <is>
          <t>Статья</t>
        </is>
      </c>
      <c r="B48" s="5" t="inlineStr"/>
      <c r="C48" s="5" t="inlineStr"/>
      <c r="D48" s="5" t="inlineStr"/>
      <c r="E48" s="5" t="inlineStr"/>
      <c r="F48" s="4" t="inlineStr">
        <is>
          <t>$ на 1 м²</t>
        </is>
      </c>
    </row>
    <row r="49">
      <c r="A49" s="5" t="inlineStr">
        <is>
          <t>Цена под ключ</t>
        </is>
      </c>
      <c r="B49" s="5" t="inlineStr"/>
      <c r="C49" s="5" t="inlineStr"/>
      <c r="D49" s="5" t="inlineStr"/>
      <c r="E49" s="5" t="inlineStr"/>
      <c r="F49" s="8" t="n">
        <v>64</v>
      </c>
    </row>
    <row r="50">
      <c r="A50" s="5" t="inlineStr">
        <is>
          <t>Материал по выбранному сценарию</t>
        </is>
      </c>
      <c r="B50" s="5" t="inlineStr"/>
      <c r="C50" s="5" t="inlineStr"/>
      <c r="D50" s="5" t="inlineStr"/>
      <c r="E50" s="5" t="inlineStr"/>
      <c r="F50" s="8">
        <f>E14</f>
        <v/>
      </c>
    </row>
    <row r="51">
      <c r="A51" s="5" t="inlineStr">
        <is>
          <t>Бригада за нанесение</t>
        </is>
      </c>
      <c r="B51" s="5" t="inlineStr"/>
      <c r="C51" s="5" t="inlineStr"/>
      <c r="D51" s="5" t="inlineStr"/>
      <c r="E51" s="5" t="inlineStr"/>
      <c r="F51" s="8" t="n">
        <v>14</v>
      </c>
    </row>
    <row r="52">
      <c r="A52" s="5" t="inlineStr">
        <is>
          <t>Прямые по объекту</t>
        </is>
      </c>
      <c r="B52" s="5" t="inlineStr"/>
      <c r="C52" s="5" t="inlineStr"/>
      <c r="D52" s="5" t="inlineStr"/>
      <c r="E52" s="5" t="inlineStr"/>
      <c r="F52" s="8" t="n">
        <v>2</v>
      </c>
    </row>
    <row r="53">
      <c r="A53" s="5" t="inlineStr">
        <is>
          <t>Накладные студии</t>
        </is>
      </c>
      <c r="B53" s="5" t="inlineStr"/>
      <c r="C53" s="5" t="inlineStr"/>
      <c r="D53" s="5" t="inlineStr"/>
      <c r="E53" s="5" t="inlineStr"/>
      <c r="F53" s="8" t="n">
        <v>8</v>
      </c>
    </row>
    <row r="54">
      <c r="A54" s="11" t="inlineStr">
        <is>
          <t>ПОЛНАЯ СЕБЕСТОИМОСТЬ ОБЪЕКТА</t>
        </is>
      </c>
      <c r="B54" s="5" t="inlineStr"/>
      <c r="C54" s="5" t="inlineStr"/>
      <c r="D54" s="5" t="inlineStr"/>
      <c r="E54" s="5" t="inlineStr"/>
      <c r="F54" s="18">
        <f>F50+F51+F52+F53</f>
        <v/>
      </c>
    </row>
    <row r="55">
      <c r="A55" s="11" t="inlineStr">
        <is>
          <t>ПРИБЫЛЬ</t>
        </is>
      </c>
      <c r="B55" s="5" t="inlineStr"/>
      <c r="C55" s="5" t="inlineStr"/>
      <c r="D55" s="5" t="inlineStr"/>
      <c r="E55" s="5" t="inlineStr"/>
      <c r="F55" s="12">
        <f>F49-F54</f>
        <v/>
      </c>
    </row>
    <row r="56">
      <c r="A56" s="11" t="inlineStr">
        <is>
          <t>Рентабельность от цены</t>
        </is>
      </c>
      <c r="B56" s="5" t="inlineStr"/>
      <c r="C56" s="5" t="inlineStr"/>
      <c r="D56" s="5" t="inlineStr"/>
      <c r="E56" s="5" t="inlineStr"/>
      <c r="F56" s="19">
        <f>IF(F49=0,0,F55/F49)</f>
        <v/>
      </c>
    </row>
    <row r="58" ht="18" customHeight="1">
      <c r="A58" s="3" t="inlineStr">
        <is>
          <t>6 · ЧТО БУДЕТ ПРИ СКИДКЕ</t>
        </is>
      </c>
    </row>
    <row r="59">
      <c r="A59" s="4" t="inlineStr">
        <is>
          <t>Скидка</t>
        </is>
      </c>
      <c r="B59" s="5" t="inlineStr"/>
      <c r="C59" s="5" t="inlineStr"/>
      <c r="D59" s="5" t="inlineStr"/>
      <c r="E59" s="4" t="inlineStr">
        <is>
          <t>Цена, $/м²</t>
        </is>
      </c>
      <c r="F59" s="4" t="inlineStr">
        <is>
          <t>Прибыль, $/м²</t>
        </is>
      </c>
    </row>
    <row r="60">
      <c r="A60" s="20" t="n">
        <v>0</v>
      </c>
      <c r="B60" s="5" t="inlineStr"/>
      <c r="C60" s="5" t="inlineStr"/>
      <c r="D60" s="5" t="inlineStr"/>
      <c r="E60" s="9">
        <f>F49*(1-A60)</f>
        <v/>
      </c>
      <c r="F60" s="21">
        <f>E60-F54</f>
        <v/>
      </c>
    </row>
    <row r="61">
      <c r="A61" s="20" t="n">
        <v>0.05</v>
      </c>
      <c r="B61" s="5" t="inlineStr"/>
      <c r="C61" s="5" t="inlineStr"/>
      <c r="D61" s="5" t="inlineStr"/>
      <c r="E61" s="9">
        <f>F49*(1-A61)</f>
        <v/>
      </c>
      <c r="F61" s="21">
        <f>E61-F54</f>
        <v/>
      </c>
    </row>
    <row r="62">
      <c r="A62" s="20" t="n">
        <v>0.1</v>
      </c>
      <c r="B62" s="5" t="inlineStr"/>
      <c r="C62" s="5" t="inlineStr"/>
      <c r="D62" s="5" t="inlineStr"/>
      <c r="E62" s="9">
        <f>F49*(1-A62)</f>
        <v/>
      </c>
      <c r="F62" s="21">
        <f>E62-F54</f>
        <v/>
      </c>
    </row>
    <row r="63">
      <c r="A63" s="20" t="n">
        <v>0.15</v>
      </c>
      <c r="B63" s="5" t="inlineStr"/>
      <c r="C63" s="5" t="inlineStr"/>
      <c r="D63" s="5" t="inlineStr"/>
      <c r="E63" s="9">
        <f>F49*(1-A63)</f>
        <v/>
      </c>
      <c r="F63" s="21">
        <f>E63-F54</f>
        <v/>
      </c>
    </row>
    <row r="64">
      <c r="A64" s="20" t="n">
        <v>0.2</v>
      </c>
      <c r="B64" s="5" t="inlineStr"/>
      <c r="C64" s="5" t="inlineStr"/>
      <c r="D64" s="5" t="inlineStr"/>
      <c r="E64" s="9">
        <f>F49*(1-A64)</f>
        <v/>
      </c>
      <c r="F64" s="21">
        <f>E64-F54</f>
        <v/>
      </c>
    </row>
    <row r="65">
      <c r="A65" s="20" t="n">
        <v>0.25</v>
      </c>
      <c r="B65" s="5" t="inlineStr"/>
      <c r="C65" s="5" t="inlineStr"/>
      <c r="D65" s="5" t="inlineStr"/>
      <c r="E65" s="9">
        <f>F49*(1-A65)</f>
        <v/>
      </c>
      <c r="F65" s="21">
        <f>E65-F54</f>
        <v/>
      </c>
    </row>
    <row r="66">
      <c r="A66" s="20" t="n">
        <v>0.3</v>
      </c>
      <c r="B66" s="5" t="inlineStr"/>
      <c r="C66" s="5" t="inlineStr"/>
      <c r="D66" s="5" t="inlineStr"/>
      <c r="E66" s="9">
        <f>F49*(1-A66)</f>
        <v/>
      </c>
      <c r="F66" s="21">
        <f>E66-F54</f>
        <v/>
      </c>
    </row>
    <row r="68">
      <c r="A68" s="2" t="inlineStr">
        <is>
          <t>Переменные затраты и постоянные — исследование 09-экономика-рынок-и-база-РБ.md, раздел 5. Цены Wanlei — КП от 27.07.2026. Цифра $15 — действующая памятка по ценам, источник не задокументирован.</t>
        </is>
      </c>
    </row>
  </sheetData>
  <mergeCells count="6">
    <mergeCell ref="A16:F16"/>
    <mergeCell ref="A47:F47"/>
    <mergeCell ref="A28:F28"/>
    <mergeCell ref="A5:F5"/>
    <mergeCell ref="A37:F37"/>
    <mergeCell ref="A58:F5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2026-08-18T16:24:45Z</dcterms:created>
  <dcterms:modified xsi:type="dcterms:W3CDTF">2026-08-18T16:24:45Z</dcterms:modified>
</cp:coreProperties>
</file>