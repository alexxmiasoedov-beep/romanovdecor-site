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ебестоимос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2C2C2C"/>
      </patternFill>
    </fill>
    <fill>
      <patternFill patternType="solid">
        <fgColor rgb="00F5EFE2"/>
      </patternFill>
    </fill>
    <fill>
      <patternFill patternType="solid">
        <fgColor rgb="00F0F5E0"/>
      </patternFill>
    </fill>
    <fill>
      <patternFill patternType="solid">
        <fgColor rgb="00FFFF00"/>
      </patternFill>
    </fill>
    <fill>
      <patternFill patternType="solid">
        <fgColor rgb="00FDEED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1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4" fillId="3" borderId="1" pivotButton="0" quotePrefix="0" xfId="0"/>
    <xf numFmtId="164" fontId="4" fillId="3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Romanov Decor</author>
  </authors>
  <commentList>
    <comment ref="E27" authorId="0" shapeId="0">
      <text>
        <t>Возьмите из расчёта с бригадой за последний объект: сумма к выплате / метры.</t>
      </text>
    </comment>
    <comment ref="E29" authorId="0" shapeId="0">
      <text>
        <t>Все расходы месяца, поделённые на метры, сделанные за месяц.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1" customWidth="1" min="2" max="2"/>
    <col width="13" customWidth="1" min="3" max="3"/>
    <col width="15" customWidth="1" min="4" max="4"/>
    <col width="16" customWidth="1" min="5" max="5"/>
  </cols>
  <sheetData>
    <row r="1">
      <c r="A1" s="1" t="inlineStr">
        <is>
          <t>Себестоимость микроцемента — реальные данные</t>
        </is>
      </c>
    </row>
    <row r="2">
      <c r="A2" s="2" t="inlineStr">
        <is>
          <t>Основа — коммерческое предложение Foshan City Nanhai Wanlei Building Paint Co. от 27.07.2026 на систему для 1000 м². Файл: документы/сертификация-поставщик/, ветка business-plan-planning.</t>
        </is>
      </c>
    </row>
    <row r="3">
      <c r="A3" s="2" t="inlineStr">
        <is>
          <t>Жёлтые ячейки заполняете вы. Синий шрифт — ввод руками, чёрный — формула.</t>
        </is>
      </c>
    </row>
    <row r="5" ht="18" customHeight="1">
      <c r="A5" s="3" t="inlineStr">
        <is>
          <t>1 · МАТЕРИАЛ ПО КП WANLEI — франко-завод, Китай</t>
        </is>
      </c>
    </row>
    <row r="6">
      <c r="A6" s="4" t="inlineStr">
        <is>
          <t>Позиция по КП</t>
        </is>
      </c>
      <c r="B6" s="4" t="inlineStr">
        <is>
          <t>Кол-во</t>
        </is>
      </c>
      <c r="C6" s="4" t="inlineStr">
        <is>
          <t>Цена, $</t>
        </is>
      </c>
      <c r="D6" s="4" t="inlineStr">
        <is>
          <t>Сумма, $</t>
        </is>
      </c>
      <c r="E6" s="4" t="inlineStr">
        <is>
          <t>$ на 1 м²</t>
        </is>
      </c>
    </row>
    <row r="7">
      <c r="A7" s="5" t="inlineStr">
        <is>
          <t>Сетка армирующая, 4 кг</t>
        </is>
      </c>
      <c r="B7" s="6" t="n">
        <v>20</v>
      </c>
      <c r="C7" s="7" t="n">
        <v>15</v>
      </c>
      <c r="D7" s="7">
        <f>B7*C7</f>
        <v/>
      </c>
      <c r="E7" s="8">
        <f>D7/1000</f>
        <v/>
      </c>
    </row>
    <row r="8">
      <c r="A8" s="5" t="inlineStr">
        <is>
          <t>Грунт Micro Primer, 5 кг</t>
        </is>
      </c>
      <c r="B8" s="6" t="n">
        <v>40</v>
      </c>
      <c r="C8" s="7" t="n">
        <v>26</v>
      </c>
      <c r="D8" s="7">
        <f>B8*C8</f>
        <v/>
      </c>
      <c r="E8" s="8">
        <f>D8/1000</f>
        <v/>
      </c>
    </row>
    <row r="9">
      <c r="A9" s="5" t="inlineStr">
        <is>
          <t>Микроцемент крупный: 16 кг + 4 кг эмульсии</t>
        </is>
      </c>
      <c r="B9" s="6" t="n">
        <v>67</v>
      </c>
      <c r="C9" s="7" t="n">
        <v>38</v>
      </c>
      <c r="D9" s="7">
        <f>B9*C9</f>
        <v/>
      </c>
      <c r="E9" s="8">
        <f>D9/1005</f>
        <v/>
      </c>
    </row>
    <row r="10">
      <c r="A10" s="5" t="inlineStr">
        <is>
          <t>Микроцемент мелкий: 10 кг + 4 кг эмульсии</t>
        </is>
      </c>
      <c r="B10" s="6" t="n">
        <v>67</v>
      </c>
      <c r="C10" s="7" t="n">
        <v>38</v>
      </c>
      <c r="D10" s="7">
        <f>B10*C10</f>
        <v/>
      </c>
      <c r="E10" s="8">
        <f>D10/1005</f>
        <v/>
      </c>
    </row>
    <row r="11">
      <c r="A11" s="5" t="inlineStr">
        <is>
          <t>Пигменты, 100 г</t>
        </is>
      </c>
      <c r="B11" s="6" t="n">
        <v>67</v>
      </c>
      <c r="C11" s="7" t="n">
        <v>3</v>
      </c>
      <c r="D11" s="7">
        <f>B11*C11</f>
        <v/>
      </c>
      <c r="E11" s="8">
        <f>D11/1000</f>
        <v/>
      </c>
    </row>
    <row r="12">
      <c r="A12" s="5" t="inlineStr">
        <is>
          <t>Micro Sealer, 5 кг</t>
        </is>
      </c>
      <c r="B12" s="6" t="n">
        <v>40</v>
      </c>
      <c r="C12" s="7" t="n">
        <v>23</v>
      </c>
      <c r="D12" s="7">
        <f>B12*C12</f>
        <v/>
      </c>
      <c r="E12" s="8">
        <f>D12/1000</f>
        <v/>
      </c>
    </row>
    <row r="13">
      <c r="A13" s="5" t="inlineStr">
        <is>
          <t>Топкоат 4 кг + отвердитель 1 кг</t>
        </is>
      </c>
      <c r="B13" s="6" t="n">
        <v>40</v>
      </c>
      <c r="C13" s="7" t="n">
        <v>72</v>
      </c>
      <c r="D13" s="7">
        <f>B13*C13</f>
        <v/>
      </c>
      <c r="E13" s="8">
        <f>D13/1000</f>
        <v/>
      </c>
    </row>
    <row r="14">
      <c r="A14" s="9" t="inlineStr">
        <is>
          <t>ИТОГО материал, франко-завод Китай</t>
        </is>
      </c>
      <c r="B14" s="5" t="inlineStr"/>
      <c r="C14" s="5" t="inlineStr"/>
      <c r="D14" s="10">
        <f>SUM(D7:D13)</f>
        <v/>
      </c>
      <c r="E14" s="11">
        <f>SUM(E7:E13)</f>
        <v/>
      </c>
    </row>
    <row r="16" ht="18" customHeight="1">
      <c r="A16" s="3" t="inlineStr">
        <is>
          <t>2 · ДОВЕЗТИ И РАСТАМОЖИТЬ — заполните своими цифрами</t>
        </is>
      </c>
    </row>
    <row r="17">
      <c r="A17" s="9" t="inlineStr">
        <is>
          <t>Позиция</t>
        </is>
      </c>
      <c r="B17" s="5" t="inlineStr"/>
      <c r="C17" s="5" t="inlineStr"/>
      <c r="D17" s="5" t="inlineStr"/>
      <c r="E17" s="4" t="inlineStr">
        <is>
          <t>$ на 1 м²</t>
        </is>
      </c>
    </row>
    <row r="18">
      <c r="A18" s="5" t="inlineStr">
        <is>
          <t>Морская доставка и авто до Минска</t>
        </is>
      </c>
      <c r="B18" s="5" t="inlineStr"/>
      <c r="C18" s="5" t="inlineStr"/>
      <c r="D18" s="5" t="inlineStr"/>
      <c r="E18" s="12" t="n">
        <v>1.8</v>
      </c>
    </row>
    <row r="19">
      <c r="A19" s="5" t="inlineStr">
        <is>
          <t>Пошлина и таможенное оформление</t>
        </is>
      </c>
      <c r="B19" s="5" t="inlineStr"/>
      <c r="C19" s="5" t="inlineStr"/>
      <c r="D19" s="5" t="inlineStr"/>
      <c r="E19" s="12" t="n">
        <v>0.9</v>
      </c>
    </row>
    <row r="20">
      <c r="A20" s="5" t="inlineStr">
        <is>
          <t>Хранение, погрузка-разгрузка</t>
        </is>
      </c>
      <c r="B20" s="5" t="inlineStr"/>
      <c r="C20" s="5" t="inlineStr"/>
      <c r="D20" s="5" t="inlineStr"/>
      <c r="E20" s="12" t="n">
        <v>0.3</v>
      </c>
    </row>
    <row r="21">
      <c r="A21" s="5" t="inlineStr">
        <is>
          <t>Потери, бой, брак партии</t>
        </is>
      </c>
      <c r="B21" s="5" t="inlineStr"/>
      <c r="C21" s="5" t="inlineStr"/>
      <c r="D21" s="5" t="inlineStr"/>
      <c r="E21" s="12" t="n">
        <v>0.25</v>
      </c>
    </row>
    <row r="22">
      <c r="A22" s="9" t="inlineStr">
        <is>
          <t>Итого логистика и таможня</t>
        </is>
      </c>
      <c r="B22" s="5" t="inlineStr"/>
      <c r="C22" s="5" t="inlineStr"/>
      <c r="D22" s="5" t="inlineStr"/>
      <c r="E22" s="13">
        <f>SUM(E18:E21)</f>
        <v/>
      </c>
    </row>
    <row r="23">
      <c r="A23" s="9" t="inlineStr">
        <is>
          <t>СЕБЕСТОИМОСТЬ МАТЕРИАЛА, франко-Минск</t>
        </is>
      </c>
      <c r="B23" s="5" t="inlineStr"/>
      <c r="C23" s="5" t="inlineStr"/>
      <c r="D23" s="5" t="inlineStr"/>
      <c r="E23" s="11">
        <f>E14+E22</f>
        <v/>
      </c>
    </row>
    <row r="25" ht="18" customHeight="1">
      <c r="A25" s="3" t="inlineStr">
        <is>
          <t>3 · РАБОТА, ПРЯМЫЕ И НАКЛАДНЫЕ — на 1 м²</t>
        </is>
      </c>
    </row>
    <row r="26">
      <c r="A26" s="9" t="inlineStr">
        <is>
          <t>Позиция</t>
        </is>
      </c>
      <c r="B26" s="5" t="inlineStr"/>
      <c r="C26" s="5" t="inlineStr"/>
      <c r="D26" s="5" t="inlineStr"/>
      <c r="E26" s="4" t="inlineStr">
        <is>
          <t>$ на 1 м²</t>
        </is>
      </c>
    </row>
    <row r="27">
      <c r="A27" s="5" t="inlineStr">
        <is>
          <t>Ставка бригады за нанесение</t>
        </is>
      </c>
      <c r="B27" s="5" t="inlineStr"/>
      <c r="C27" s="5" t="inlineStr"/>
      <c r="D27" s="5" t="inlineStr"/>
      <c r="E27" s="12" t="n">
        <v>14</v>
      </c>
    </row>
    <row r="28">
      <c r="A28" s="5" t="inlineStr">
        <is>
          <t>Прямые по объекту: доставка, вынос мусора, укрывной</t>
        </is>
      </c>
      <c r="B28" s="5" t="inlineStr"/>
      <c r="C28" s="5" t="inlineStr"/>
      <c r="D28" s="5" t="inlineStr"/>
      <c r="E28" s="12" t="n">
        <v>2</v>
      </c>
    </row>
    <row r="29">
      <c r="A29" s="5" t="inlineStr">
        <is>
          <t>Накладные: менеджер, реклама, налоги, гарантия</t>
        </is>
      </c>
      <c r="B29" s="5" t="inlineStr"/>
      <c r="C29" s="5" t="inlineStr"/>
      <c r="D29" s="5" t="inlineStr"/>
      <c r="E29" s="12" t="n">
        <v>15</v>
      </c>
    </row>
    <row r="31" ht="18" customHeight="1">
      <c r="A31" s="3" t="inlineStr">
        <is>
          <t>4 · ИТОГО ПО СТЕНАМ</t>
        </is>
      </c>
    </row>
    <row r="32">
      <c r="A32" s="9" t="inlineStr">
        <is>
          <t>Показатель</t>
        </is>
      </c>
      <c r="B32" s="5" t="inlineStr"/>
      <c r="C32" s="5" t="inlineStr"/>
      <c r="D32" s="5" t="inlineStr"/>
      <c r="E32" s="4" t="inlineStr">
        <is>
          <t>$ на 1 м²</t>
        </is>
      </c>
    </row>
    <row r="33">
      <c r="A33" s="5" t="inlineStr">
        <is>
          <t>Материал франко-Минск</t>
        </is>
      </c>
      <c r="B33" s="5" t="inlineStr"/>
      <c r="C33" s="5" t="inlineStr"/>
      <c r="D33" s="5" t="inlineStr"/>
      <c r="E33" s="14">
        <f>E23</f>
        <v/>
      </c>
    </row>
    <row r="34">
      <c r="A34" s="5" t="inlineStr">
        <is>
          <t>Бригада</t>
        </is>
      </c>
      <c r="B34" s="5" t="inlineStr"/>
      <c r="C34" s="5" t="inlineStr"/>
      <c r="D34" s="5" t="inlineStr"/>
      <c r="E34" s="14">
        <f>E27</f>
        <v/>
      </c>
    </row>
    <row r="35">
      <c r="A35" s="5" t="inlineStr">
        <is>
          <t>Прямые</t>
        </is>
      </c>
      <c r="B35" s="5" t="inlineStr"/>
      <c r="C35" s="5" t="inlineStr"/>
      <c r="D35" s="5" t="inlineStr"/>
      <c r="E35" s="14">
        <f>E28</f>
        <v/>
      </c>
    </row>
    <row r="36">
      <c r="A36" s="5" t="inlineStr">
        <is>
          <t>Накладные</t>
        </is>
      </c>
      <c r="B36" s="5" t="inlineStr"/>
      <c r="C36" s="5" t="inlineStr"/>
      <c r="D36" s="5" t="inlineStr"/>
      <c r="E36" s="14">
        <f>E29</f>
        <v/>
      </c>
    </row>
    <row r="37">
      <c r="A37" s="9" t="inlineStr">
        <is>
          <t>ПОЛНАЯ СЕБЕСТОИМОСТЬ</t>
        </is>
      </c>
      <c r="B37" s="5" t="inlineStr"/>
      <c r="C37" s="5" t="inlineStr"/>
      <c r="D37" s="5" t="inlineStr"/>
      <c r="E37" s="13">
        <f>SUM(E33:E36)</f>
        <v/>
      </c>
    </row>
    <row r="38">
      <c r="A38" s="5" t="inlineStr">
        <is>
          <t>Цена под ключ, базовая</t>
        </is>
      </c>
      <c r="B38" s="5" t="inlineStr"/>
      <c r="C38" s="5" t="inlineStr"/>
      <c r="D38" s="5" t="inlineStr"/>
      <c r="E38" s="12" t="n">
        <v>64</v>
      </c>
    </row>
    <row r="39">
      <c r="A39" s="9" t="inlineStr">
        <is>
          <t>ПРИБЫЛЬ</t>
        </is>
      </c>
      <c r="B39" s="5" t="inlineStr"/>
      <c r="C39" s="5" t="inlineStr"/>
      <c r="D39" s="5" t="inlineStr"/>
      <c r="E39" s="13">
        <f>E38-E37</f>
        <v/>
      </c>
    </row>
    <row r="40">
      <c r="A40" s="9" t="inlineStr">
        <is>
          <t>Рентабельность от цены</t>
        </is>
      </c>
      <c r="B40" s="5" t="inlineStr"/>
      <c r="C40" s="5" t="inlineStr"/>
      <c r="D40" s="5" t="inlineStr"/>
      <c r="E40" s="15">
        <f>IF(E38=0,0,E39/E38)</f>
        <v/>
      </c>
    </row>
    <row r="42" ht="18" customHeight="1">
      <c r="A42" s="3" t="inlineStr">
        <is>
          <t>5 · ЧЕМ ЗАМЕНИТЬ СНАБЖЕНИЕ — оценки из бизнес-плана</t>
        </is>
      </c>
    </row>
    <row r="43">
      <c r="A43" s="4" t="inlineStr">
        <is>
          <t>Вариант</t>
        </is>
      </c>
      <c r="B43" s="4" t="inlineStr"/>
      <c r="C43" s="4" t="inlineStr"/>
      <c r="D43" s="4" t="inlineStr">
        <is>
          <t>Материал, $/м²</t>
        </is>
      </c>
      <c r="E43" s="4" t="inlineStr">
        <is>
          <t>Прибыль, $/м²</t>
        </is>
      </c>
    </row>
    <row r="44">
      <c r="A44" s="5" t="inlineStr">
        <is>
          <t>Готовая система Wanlei, франко-Минск</t>
        </is>
      </c>
      <c r="B44" s="5" t="inlineStr"/>
      <c r="C44" s="5" t="inlineStr"/>
      <c r="D44" s="8">
        <f>E23</f>
        <v/>
      </c>
      <c r="E44" s="16">
        <f>E38-D44-E27-E28-E29</f>
        <v/>
      </c>
    </row>
    <row r="45">
      <c r="A45" s="5" t="inlineStr">
        <is>
          <t>Своя рецептура: эпоксид на аналоговой смоле</t>
        </is>
      </c>
      <c r="B45" s="5" t="inlineStr"/>
      <c r="C45" s="5" t="inlineStr"/>
      <c r="D45" s="8" t="n">
        <v>10.5</v>
      </c>
      <c r="E45" s="16">
        <f>E38-D45-E27-E28-E29</f>
        <v/>
      </c>
    </row>
    <row r="46">
      <c r="A46" s="5" t="inlineStr">
        <is>
          <t>Своя рецептура: гибрид цемент+эпоксид</t>
        </is>
      </c>
      <c r="B46" s="5" t="inlineStr"/>
      <c r="C46" s="5" t="inlineStr"/>
      <c r="D46" s="8" t="n">
        <v>3</v>
      </c>
      <c r="E46" s="16">
        <f>E38-D46-E27-E28-E29</f>
        <v/>
      </c>
    </row>
    <row r="47">
      <c r="A47" s="5" t="inlineStr">
        <is>
          <t>Своя рецептура: цементная линейка</t>
        </is>
      </c>
      <c r="B47" s="5" t="inlineStr"/>
      <c r="C47" s="5" t="inlineStr"/>
      <c r="D47" s="8" t="n">
        <v>1.75</v>
      </c>
      <c r="E47" s="16">
        <f>E38-D47-E27-E28-E29</f>
        <v/>
      </c>
    </row>
    <row r="48">
      <c r="A48" s="5" t="inlineStr">
        <is>
          <t>Розница Remmers Epoxy BS 3000</t>
        </is>
      </c>
      <c r="B48" s="5" t="inlineStr"/>
      <c r="C48" s="5" t="inlineStr"/>
      <c r="D48" s="8" t="n">
        <v>57</v>
      </c>
      <c r="E48" s="16">
        <f>E38-D48-E27-E28-E29</f>
        <v/>
      </c>
    </row>
    <row r="50" ht="18" customHeight="1">
      <c r="A50" s="3" t="inlineStr">
        <is>
          <t>6 · ЧТО БУДЕТ ПРИ СКИДКЕ — от текущей себестоимости</t>
        </is>
      </c>
    </row>
    <row r="51">
      <c r="A51" s="4" t="inlineStr">
        <is>
          <t>Скидка</t>
        </is>
      </c>
      <c r="B51" s="5" t="inlineStr"/>
      <c r="C51" s="5" t="inlineStr"/>
      <c r="D51" s="4" t="inlineStr">
        <is>
          <t>Цена, $/м²</t>
        </is>
      </c>
      <c r="E51" s="4" t="inlineStr">
        <is>
          <t>Прибыль, $/м²</t>
        </is>
      </c>
    </row>
    <row r="52">
      <c r="A52" s="15" t="n">
        <v>0</v>
      </c>
      <c r="B52" s="5" t="inlineStr"/>
      <c r="C52" s="5" t="inlineStr"/>
      <c r="D52" s="8">
        <f>E38*(1-A52)</f>
        <v/>
      </c>
      <c r="E52" s="16">
        <f>D52-E37</f>
        <v/>
      </c>
    </row>
    <row r="53">
      <c r="A53" s="15" t="n">
        <v>0.05</v>
      </c>
      <c r="B53" s="5" t="inlineStr"/>
      <c r="C53" s="5" t="inlineStr"/>
      <c r="D53" s="8">
        <f>E38*(1-A53)</f>
        <v/>
      </c>
      <c r="E53" s="16">
        <f>D53-E37</f>
        <v/>
      </c>
    </row>
    <row r="54">
      <c r="A54" s="15" t="n">
        <v>0.1</v>
      </c>
      <c r="B54" s="5" t="inlineStr"/>
      <c r="C54" s="5" t="inlineStr"/>
      <c r="D54" s="8">
        <f>E38*(1-A54)</f>
        <v/>
      </c>
      <c r="E54" s="16">
        <f>D54-E37</f>
        <v/>
      </c>
    </row>
    <row r="55">
      <c r="A55" s="15" t="n">
        <v>0.15</v>
      </c>
      <c r="B55" s="5" t="inlineStr"/>
      <c r="C55" s="5" t="inlineStr"/>
      <c r="D55" s="8">
        <f>E38*(1-A55)</f>
        <v/>
      </c>
      <c r="E55" s="16">
        <f>D55-E37</f>
        <v/>
      </c>
    </row>
    <row r="56">
      <c r="A56" s="15" t="n">
        <v>0.2</v>
      </c>
      <c r="B56" s="5" t="inlineStr"/>
      <c r="C56" s="5" t="inlineStr"/>
      <c r="D56" s="8">
        <f>E38*(1-A56)</f>
        <v/>
      </c>
      <c r="E56" s="16">
        <f>D56-E37</f>
        <v/>
      </c>
    </row>
    <row r="57">
      <c r="A57" s="15" t="n">
        <v>0.25</v>
      </c>
      <c r="B57" s="5" t="inlineStr"/>
      <c r="C57" s="5" t="inlineStr"/>
      <c r="D57" s="8">
        <f>E38*(1-A57)</f>
        <v/>
      </c>
      <c r="E57" s="16">
        <f>D57-E37</f>
        <v/>
      </c>
    </row>
    <row r="59">
      <c r="A59" s="2" t="inlineStr">
        <is>
          <t>Источник цен на материал: КП Foshan Wanlei от 27.07.2026 на 1000 м², раздел «Microcement quotation». Оценки альтернатив — бизнес-план, раздел 2c, «Предварительная себестоимость материалов».</t>
        </is>
      </c>
    </row>
  </sheetData>
  <mergeCells count="6">
    <mergeCell ref="A50:E50"/>
    <mergeCell ref="A16:E16"/>
    <mergeCell ref="A42:E42"/>
    <mergeCell ref="A25:E25"/>
    <mergeCell ref="A5:E5"/>
    <mergeCell ref="A31:E3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2026-08-18T15:57:01Z</dcterms:created>
  <dcterms:modified xsi:type="dcterms:W3CDTF">2026-08-18T16:13:20Z</dcterms:modified>
</cp:coreProperties>
</file>