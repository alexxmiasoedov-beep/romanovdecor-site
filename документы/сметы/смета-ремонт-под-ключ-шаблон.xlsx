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Параметры" sheetId="2" state="visible" r:id="rId2"/>
    <sheet name="Ставки" sheetId="3" state="visible" r:id="rId3"/>
    <sheet name="Узлы" sheetId="4" state="visible" r:id="rId4"/>
    <sheet name="Объём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color rgb="00008000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FFFF99"/>
      </patternFill>
    </fill>
    <fill>
      <patternFill patternType="solid">
        <fgColor rgb="00F5E2BB"/>
      </patternFill>
    </fill>
    <fill>
      <patternFill patternType="solid">
        <fgColor rgb="00F5EFE2"/>
      </patternFill>
    </fill>
  </fills>
  <borders count="2">
    <border>
      <left/>
      <right/>
      <top/>
      <bottom/>
      <diagonal/>
    </border>
    <border>
      <left style="thin">
        <color rgb="00CBBF9F"/>
      </left>
      <right style="thin">
        <color rgb="00CBBF9F"/>
      </right>
      <top style="thin">
        <color rgb="00CBBF9F"/>
      </top>
      <bottom style="thin">
        <color rgb="00CBBF9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7" fillId="5" borderId="0" pivotButton="0" quotePrefix="0" xfId="0"/>
    <xf numFmtId="0" fontId="3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4" fontId="0" fillId="0" borderId="1" pivotButton="0" quotePrefix="0" xfId="0"/>
    <xf numFmtId="0" fontId="5" fillId="0" borderId="1" pivotButton="0" quotePrefix="0" xfId="0"/>
    <xf numFmtId="4" fontId="4" fillId="3" borderId="1" pivotButton="0" quotePrefix="0" xfId="0"/>
    <xf numFmtId="0" fontId="7" fillId="0" borderId="0" pivotButton="0" quotePrefix="0" xfId="0"/>
    <xf numFmtId="4" fontId="7" fillId="4" borderId="0" pivotButton="0" quotePrefix="0" xfId="0"/>
    <xf numFmtId="4" fontId="7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4" borderId="0" pivotButton="0" quotePrefix="0" xfId="0"/>
    <xf numFmtId="0" fontId="8" fillId="0" borderId="0" pivotButton="0" quotePrefix="0" xfId="0"/>
    <xf numFmtId="4" fontId="8" fillId="4" borderId="0" pivotButton="0" quotePrefix="0" xfId="0"/>
    <xf numFmtId="164" fontId="3" fillId="4" borderId="0" pivotButton="0" quotePrefix="0" xfId="0"/>
    <xf numFmtId="0" fontId="2" fillId="2" borderId="0" pivotButton="0" quotePrefix="0" xfId="0"/>
    <xf numFmtId="4" fontId="4" fillId="3" borderId="0" pivotButton="0" quotePrefix="0" xfId="0"/>
    <xf numFmtId="0" fontId="5" fillId="0" borderId="0" applyAlignment="1" pivotButton="0" quotePrefix="0" xfId="0">
      <alignment vertical="top" wrapText="1"/>
    </xf>
    <xf numFmtId="164" fontId="4" fillId="3" borderId="0" pivotButton="0" quotePrefix="0" xfId="0"/>
    <xf numFmtId="4" fontId="4" fillId="0" borderId="0" pivotButton="0" quotePrefix="0" xfId="0"/>
    <xf numFmtId="4" fontId="6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62" customWidth="1" min="3" max="3"/>
    <col width="8" customWidth="1" min="4" max="4"/>
    <col width="10" customWidth="1" min="5" max="5"/>
    <col width="13" customWidth="1" min="6" max="6"/>
    <col width="14" customWidth="1" min="7" max="7"/>
    <col width="13" customWidth="1" min="8" max="8"/>
    <col width="14" customWidth="1" min="9" max="9"/>
    <col width="14" customWidth="1" min="10" max="10"/>
    <col width="46" customWidth="1" min="11" max="11"/>
  </cols>
  <sheetData>
    <row r="1">
      <c r="A1" s="1" t="inlineStr">
        <is>
          <t>ЛОКАЛЬНАЯ СМЕТА на ремонт квартиры «под ключ» — шаблон с примером</t>
        </is>
      </c>
    </row>
    <row r="2">
      <c r="A2" s="2" t="inlineStr">
        <is>
          <t>Объект: ПРИМЕР, квартира 55 м², Минск. Профиль: штукатурка только новых перегородок, шпаклёвка Q3 по существующим стенам, самонивелир 5 мм + клеевой кварцвинил. Цены: розница Минска и ставки «типично», срез 27.09.2026, BYN без НДС.</t>
        </is>
      </c>
    </row>
    <row r="3">
      <c r="A3" s="2" t="inlineStr">
        <is>
          <t>Как пользоваться: объёмы (жёлтые ячейки) — с листа «Объёмы» или вручную; цены тянутся по коду узла с листа «Узлы» (материал) и «Ставки» (работа). Класс отделки, объёмы и цены согласовать с заказчиком письменно до старта (ст. 663 ГК, ст. 34 ЗПП).</t>
        </is>
      </c>
    </row>
    <row r="5" ht="30" customHeight="1">
      <c r="A5" s="3" t="inlineStr">
        <is>
          <t>№</t>
        </is>
      </c>
      <c r="B5" s="3" t="inlineStr">
        <is>
          <t>Код узла</t>
        </is>
      </c>
      <c r="C5" s="3" t="inlineStr">
        <is>
          <t>Наименование работ и затрат</t>
        </is>
      </c>
      <c r="D5" s="3" t="inlineStr">
        <is>
          <t>Ед.</t>
        </is>
      </c>
      <c r="E5" s="3" t="inlineStr">
        <is>
          <t>Объём</t>
        </is>
      </c>
      <c r="F5" s="3" t="inlineStr">
        <is>
          <t>Работа, BYN/ед.</t>
        </is>
      </c>
      <c r="G5" s="3" t="inlineStr">
        <is>
          <t>Материал, BYN/ед.</t>
        </is>
      </c>
      <c r="H5" s="3" t="inlineStr">
        <is>
          <t>Работа, BYN</t>
        </is>
      </c>
      <c r="I5" s="3" t="inlineStr">
        <is>
          <t>Материал, BYN</t>
        </is>
      </c>
      <c r="J5" s="3" t="inlineStr">
        <is>
          <t>Всего, BYN</t>
        </is>
      </c>
      <c r="K5" s="3" t="inlineStr">
        <is>
          <t>Обоснование / примечание</t>
        </is>
      </c>
    </row>
    <row r="6">
      <c r="A6" s="4" t="n"/>
      <c r="B6" s="4" t="n"/>
      <c r="C6" s="5" t="inlineStr">
        <is>
          <t>1. Подготовка и демонтаж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6" t="n">
        <v>1</v>
      </c>
      <c r="B7" s="6" t="inlineStr">
        <is>
          <t>N01</t>
        </is>
      </c>
      <c r="C7" s="7" t="str">
        <f>INDEX(Узлы!$B$2:$B$28,MATCH(B7,Узлы!$A$2:$A$28,0))</f>
        <v>Демонтаж обоев</v>
      </c>
      <c r="D7" s="7" t="str">
        <f>INDEX(Узлы!$C$2:$C$28,MATCH(B7,Узлы!$A$2:$A$28,0))</f>
        <v>м²</v>
      </c>
      <c r="E7" s="8">
        <f>Объёмы!$I$9</f>
        <v>131.99</v>
      </c>
      <c r="F7" s="8">
        <f>INDEX(Узлы!$G$2:$G$28,MATCH(B7,Узлы!$A$2:$A$28,0))</f>
        <v>3.0</v>
      </c>
      <c r="G7" s="8">
        <f>INDEX(Узлы!$E$2:$E$28,MATCH(B7,Узлы!$A$2:$A$28,0))</f>
        <v>0.0</v>
      </c>
      <c r="H7" s="9">
        <f>E7*F7</f>
        <v>395.97</v>
      </c>
      <c r="I7" s="9">
        <f>E7*G7</f>
        <v>0.0</v>
      </c>
      <c r="J7" s="9">
        <f>H7+I7</f>
        <v>395.97</v>
      </c>
      <c r="K7" s="10" t="inlineStr">
        <is>
          <t>снятие старых обоев со всех существующих стен</t>
        </is>
      </c>
    </row>
    <row r="8">
      <c r="A8" s="6" t="n">
        <v>2</v>
      </c>
      <c r="B8" s="6" t="inlineStr">
        <is>
          <t>N02</t>
        </is>
      </c>
      <c r="C8" s="7" t="str">
        <f>INDEX(Узлы!$B$2:$B$28,MATCH(B8,Узлы!$A$2:$A$28,0))</f>
        <v>Демонтаж плинтуса</v>
      </c>
      <c r="D8" s="7" t="str">
        <f>INDEX(Узлы!$C$2:$C$28,MATCH(B8,Узлы!$A$2:$A$28,0))</f>
        <v>м.п.</v>
      </c>
      <c r="E8" s="8">
        <f>Объёмы!$L$9</f>
        <v>39.8</v>
      </c>
      <c r="F8" s="8">
        <f>INDEX(Узлы!$G$2:$G$28,MATCH(B8,Узлы!$A$2:$A$28,0))</f>
        <v>3.0</v>
      </c>
      <c r="G8" s="8">
        <f>INDEX(Узлы!$E$2:$E$28,MATCH(B8,Узлы!$A$2:$A$28,0))</f>
        <v>0.0</v>
      </c>
      <c r="H8" s="9">
        <f>E8*F8</f>
        <v>119.4</v>
      </c>
      <c r="I8" s="9">
        <f>E8*G8</f>
        <v>0.0</v>
      </c>
      <c r="J8" s="9">
        <f>H8+I8</f>
        <v>119.4</v>
      </c>
      <c r="K8" s="10" t="inlineStr"/>
    </row>
    <row r="9">
      <c r="A9" s="6" t="n">
        <v>3</v>
      </c>
      <c r="B9" s="6" t="inlineStr">
        <is>
          <t>N03</t>
        </is>
      </c>
      <c r="C9" s="7" t="str">
        <f>INDEX(Узлы!$B$2:$B$28,MATCH(B9,Узлы!$A$2:$A$28,0))</f>
        <v>Вынос мусора, мешок</v>
      </c>
      <c r="D9" s="7" t="str">
        <f>INDEX(Узлы!$C$2:$C$28,MATCH(B9,Узлы!$A$2:$A$28,0))</f>
        <v>мешок</v>
      </c>
      <c r="E9" s="11" t="n">
        <v>40</v>
      </c>
      <c r="F9" s="8">
        <f>INDEX(Узлы!$G$2:$G$28,MATCH(B9,Узлы!$A$2:$A$28,0))</f>
        <v>2.0</v>
      </c>
      <c r="G9" s="8">
        <f>INDEX(Узлы!$E$2:$E$28,MATCH(B9,Узлы!$A$2:$A$28,0))</f>
        <v>0.7</v>
      </c>
      <c r="H9" s="9">
        <f>E9*F9</f>
        <v>80.0</v>
      </c>
      <c r="I9" s="9">
        <f>E9*G9</f>
        <v>28.0</v>
      </c>
      <c r="J9" s="9">
        <f>H9+I9</f>
        <v>108.0</v>
      </c>
      <c r="K9" s="10" t="inlineStr">
        <is>
          <t>оценка 0,7 мешка на м² при косметическом демонтаже</t>
        </is>
      </c>
    </row>
    <row r="10">
      <c r="A10" s="6" t="n">
        <v>4</v>
      </c>
      <c r="B10" s="6" t="inlineStr">
        <is>
          <t>N04</t>
        </is>
      </c>
      <c r="C10" s="7" t="str">
        <f>INDEX(Узлы!$B$2:$B$28,MATCH(B10,Узлы!$A$2:$A$28,0))</f>
        <v>Вывоз мусора, Газель</v>
      </c>
      <c r="D10" s="7" t="str">
        <f>INDEX(Узлы!$C$2:$C$28,MATCH(B10,Узлы!$A$2:$A$28,0))</f>
        <v>рейс</v>
      </c>
      <c r="E10" s="11" t="n">
        <v>1</v>
      </c>
      <c r="F10" s="8">
        <f>INDEX(Узлы!$G$2:$G$28,MATCH(B10,Узлы!$A$2:$A$28,0))</f>
        <v>180.0</v>
      </c>
      <c r="G10" s="8">
        <f>INDEX(Узлы!$E$2:$E$28,MATCH(B10,Узлы!$A$2:$A$28,0))</f>
        <v>0.0</v>
      </c>
      <c r="H10" s="9">
        <f>E10*F10</f>
        <v>180.0</v>
      </c>
      <c r="I10" s="9">
        <f>E10*G10</f>
        <v>0.0</v>
      </c>
      <c r="J10" s="9">
        <f>H10+I10</f>
        <v>180.0</v>
      </c>
      <c r="K10" s="10" t="inlineStr">
        <is>
          <t>Газель 4–5 м³</t>
        </is>
      </c>
    </row>
    <row r="11">
      <c r="C11" s="12" t="inlineStr">
        <is>
          <t>Итого по разделу</t>
        </is>
      </c>
      <c r="H11" s="13">
        <f>SUM(H7:H10)</f>
        <v>775.37</v>
      </c>
      <c r="I11" s="13">
        <f>SUM(I7:I10)</f>
        <v>28.0</v>
      </c>
      <c r="J11" s="13">
        <f>SUM(J7:J10)</f>
        <v>803.37</v>
      </c>
    </row>
    <row r="13">
      <c r="A13" s="4" t="n"/>
      <c r="B13" s="4" t="n"/>
      <c r="C13" s="5" t="inlineStr">
        <is>
          <t>2. Перегородки и штукатурка новых стен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6" t="n">
        <v>5</v>
      </c>
      <c r="B14" s="6" t="inlineStr">
        <is>
          <t>N05</t>
        </is>
      </c>
      <c r="C14" s="7" t="str">
        <f>INDEX(Узлы!$B$2:$B$28,MATCH(B14,Узлы!$A$2:$A$28,0))</f>
        <v>Перегородка газосиликат 100 мм</v>
      </c>
      <c r="D14" s="7" t="str">
        <f>INDEX(Узлы!$C$2:$C$28,MATCH(B14,Узлы!$A$2:$A$28,0))</f>
        <v>м²</v>
      </c>
      <c r="E14" s="11" t="n">
        <v>12</v>
      </c>
      <c r="F14" s="8">
        <f>INDEX(Узлы!$G$2:$G$28,MATCH(B14,Узлы!$A$2:$A$28,0))</f>
        <v>32.0</v>
      </c>
      <c r="G14" s="8">
        <f>INDEX(Узлы!$E$2:$E$28,MATCH(B14,Узлы!$A$2:$A$28,0))</f>
        <v>22.0</v>
      </c>
      <c r="H14" s="9">
        <f>E14*F14</f>
        <v>384.0</v>
      </c>
      <c r="I14" s="9">
        <f>E14*G14</f>
        <v>264.0</v>
      </c>
      <c r="J14" s="9">
        <f>H14+I14</f>
        <v>648.0</v>
      </c>
      <c r="K14" s="10" t="inlineStr">
        <is>
          <t>новая перегородка 4,5×2,65 газосиликат 100 мм (пример)</t>
        </is>
      </c>
    </row>
    <row r="15">
      <c r="A15" s="6" t="n">
        <v>6</v>
      </c>
      <c r="B15" s="6" t="inlineStr">
        <is>
          <t>N07</t>
        </is>
      </c>
      <c r="C15" s="7" t="str">
        <f>INDEX(Узлы!$B$2:$B$28,MATCH(B15,Узлы!$A$2:$A$28,0))</f>
        <v>Штукатурка гипсовая 15 мм по маякам (новые перегородки)</v>
      </c>
      <c r="D15" s="7" t="str">
        <f>INDEX(Узлы!$C$2:$C$28,MATCH(B15,Узлы!$A$2:$A$28,0))</f>
        <v>м²</v>
      </c>
      <c r="E15" s="11" t="n">
        <v>24</v>
      </c>
      <c r="F15" s="8">
        <f>INDEX(Узлы!$G$2:$G$28,MATCH(B15,Узлы!$A$2:$A$28,0))</f>
        <v>20.0</v>
      </c>
      <c r="G15" s="8">
        <f>INDEX(Узлы!$E$2:$E$28,MATCH(B15,Узлы!$A$2:$A$28,0))</f>
        <v>9.5</v>
      </c>
      <c r="H15" s="9">
        <f>E15*F15</f>
        <v>480.0</v>
      </c>
      <c r="I15" s="9">
        <f>E15*G15</f>
        <v>228.0</v>
      </c>
      <c r="J15" s="9">
        <f>H15+I15</f>
        <v>708.0</v>
      </c>
      <c r="K15" s="10" t="inlineStr">
        <is>
          <t>штукатурка обеих сторон новой перегородки; ПГП/ГКЛ не штукатурятся</t>
        </is>
      </c>
    </row>
    <row r="16">
      <c r="A16" s="6" t="n">
        <v>7</v>
      </c>
      <c r="B16" s="6" t="inlineStr">
        <is>
          <t>N08</t>
        </is>
      </c>
      <c r="C16" s="7" t="str">
        <f>INDEX(Узлы!$B$2:$B$28,MATCH(B16,Узлы!$A$2:$A$28,0))</f>
        <v>Откосы штукатурные</v>
      </c>
      <c r="D16" s="7" t="str">
        <f>INDEX(Узлы!$C$2:$C$28,MATCH(B16,Узлы!$A$2:$A$28,0))</f>
        <v>м.п.</v>
      </c>
      <c r="E16" s="8">
        <f>Объёмы!$K$8</f>
        <v>15.0</v>
      </c>
      <c r="F16" s="8">
        <f>INDEX(Узлы!$G$2:$G$28,MATCH(B16,Узлы!$A$2:$A$28,0))</f>
        <v>18.0</v>
      </c>
      <c r="G16" s="8">
        <f>INDEX(Узлы!$E$2:$E$28,MATCH(B16,Узлы!$A$2:$A$28,0))</f>
        <v>4.5</v>
      </c>
      <c r="H16" s="9">
        <f>E16*F16</f>
        <v>270.0</v>
      </c>
      <c r="I16" s="9">
        <f>E16*G16</f>
        <v>67.5</v>
      </c>
      <c r="J16" s="9">
        <f>H16+I16</f>
        <v>337.5</v>
      </c>
      <c r="K16" s="10" t="inlineStr">
        <is>
          <t>оконные и дверные откосы</t>
        </is>
      </c>
    </row>
    <row r="17">
      <c r="C17" s="12" t="inlineStr">
        <is>
          <t>Итого по разделу</t>
        </is>
      </c>
      <c r="H17" s="13">
        <f>SUM(H14:H16)</f>
        <v>1134.0</v>
      </c>
      <c r="I17" s="13">
        <f>SUM(I14:I16)</f>
        <v>559.5</v>
      </c>
      <c r="J17" s="13">
        <f>SUM(J14:J16)</f>
        <v>1693.5</v>
      </c>
    </row>
    <row r="19">
      <c r="A19" s="4" t="n"/>
      <c r="B19" s="4" t="n"/>
      <c r="C19" s="5" t="inlineStr">
        <is>
          <t>3. Шпаклёвка и окраска (стены — по существующей штукатурке, класс «улучшенная», Q3)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6" t="n">
        <v>8</v>
      </c>
      <c r="B20" s="6" t="inlineStr">
        <is>
          <t>N09</t>
        </is>
      </c>
      <c r="C20" s="7" t="str">
        <f>INDEX(Узлы!$B$2:$B$28,MATCH(B20,Узлы!$A$2:$A$28,0))</f>
        <v>Шпаклёвка стен под покраску Q3 (по существующей штукатурке/бетону)</v>
      </c>
      <c r="D20" s="7" t="str">
        <f>INDEX(Узлы!$C$2:$C$28,MATCH(B20,Узлы!$A$2:$A$28,0))</f>
        <v>м²</v>
      </c>
      <c r="E20" s="8">
        <f>Объёмы!$I$9+24</f>
        <v>155.99</v>
      </c>
      <c r="F20" s="8">
        <f>INDEX(Узлы!$G$2:$G$28,MATCH(B20,Узлы!$A$2:$A$28,0))</f>
        <v>30.0</v>
      </c>
      <c r="G20" s="8">
        <f>INDEX(Узлы!$E$2:$E$28,MATCH(B20,Узлы!$A$2:$A$28,0))</f>
        <v>8.3</v>
      </c>
      <c r="H20" s="9">
        <f>E20*F20</f>
        <v>4679.7</v>
      </c>
      <c r="I20" s="9">
        <f>E20*G20</f>
        <v>1294.717</v>
      </c>
      <c r="J20" s="9">
        <f>H20+I20</f>
        <v>5974.417</v>
      </c>
      <c r="K20" s="10" t="inlineStr">
        <is>
          <t>существующие стены + новая перегородка после штукатурки</t>
        </is>
      </c>
    </row>
    <row r="21">
      <c r="A21" s="6" t="n">
        <v>9</v>
      </c>
      <c r="B21" s="6" t="inlineStr">
        <is>
          <t>N10</t>
        </is>
      </c>
      <c r="C21" s="7" t="str">
        <f>INDEX(Узлы!$B$2:$B$28,MATCH(B21,Узлы!$A$2:$A$28,0))</f>
        <v>Стеклохолст 40 г/м² на клей</v>
      </c>
      <c r="D21" s="7" t="str">
        <f>INDEX(Узлы!$C$2:$C$28,MATCH(B21,Узлы!$A$2:$A$28,0))</f>
        <v>м²</v>
      </c>
      <c r="E21" s="8">
        <f>Объёмы!$I$9+24+Объёмы!$J$9</f>
        <v>204.01</v>
      </c>
      <c r="F21" s="8">
        <f>INDEX(Узлы!$G$2:$G$28,MATCH(B21,Узлы!$A$2:$A$28,0))</f>
        <v>9.0</v>
      </c>
      <c r="G21" s="8">
        <f>INDEX(Узлы!$E$2:$E$28,MATCH(B21,Узлы!$A$2:$A$28,0))</f>
        <v>3.2</v>
      </c>
      <c r="H21" s="9">
        <f>E21*F21</f>
        <v>1836.09</v>
      </c>
      <c r="I21" s="9">
        <f>E21*G21</f>
        <v>652.832</v>
      </c>
      <c r="J21" s="9">
        <f>H21+I21</f>
        <v>2488.922</v>
      </c>
      <c r="K21" s="10" t="inlineStr">
        <is>
          <t>стеклохолст на стены и потолки под покраску</t>
        </is>
      </c>
    </row>
    <row r="22">
      <c r="A22" s="6" t="n">
        <v>10</v>
      </c>
      <c r="B22" s="6" t="inlineStr">
        <is>
          <t>N11</t>
        </is>
      </c>
      <c r="C22" s="7" t="str">
        <f>INDEX(Узлы!$B$2:$B$28,MATCH(B22,Узлы!$A$2:$A$28,0))</f>
        <v>Шпаклёвка потолка под покраску Q3</v>
      </c>
      <c r="D22" s="7" t="str">
        <f>INDEX(Узлы!$C$2:$C$28,MATCH(B22,Узлы!$A$2:$A$28,0))</f>
        <v>м²</v>
      </c>
      <c r="E22" s="8">
        <f>Объёмы!$J$9</f>
        <v>48.02</v>
      </c>
      <c r="F22" s="8">
        <f>INDEX(Узлы!$G$2:$G$28,MATCH(B22,Узлы!$A$2:$A$28,0))</f>
        <v>37.0</v>
      </c>
      <c r="G22" s="8">
        <f>INDEX(Узлы!$E$2:$E$28,MATCH(B22,Узлы!$A$2:$A$28,0))</f>
        <v>8.3</v>
      </c>
      <c r="H22" s="9">
        <f>E22*F22</f>
        <v>1776.74</v>
      </c>
      <c r="I22" s="9">
        <f>E22*G22</f>
        <v>398.566</v>
      </c>
      <c r="J22" s="9">
        <f>H22+I22</f>
        <v>2175.306</v>
      </c>
      <c r="K22" s="10" t="inlineStr">
        <is>
          <t>потолки под покраску; если натяжные — обнулить</t>
        </is>
      </c>
    </row>
    <row r="23">
      <c r="A23" s="6" t="n">
        <v>11</v>
      </c>
      <c r="B23" s="6" t="inlineStr">
        <is>
          <t>N12</t>
        </is>
      </c>
      <c r="C23" s="7" t="str">
        <f>INDEX(Узлы!$B$2:$B$28,MATCH(B23,Узлы!$A$2:$A$28,0))</f>
        <v>Окраска стен 2 слоя + грунт</v>
      </c>
      <c r="D23" s="7" t="str">
        <f>INDEX(Узлы!$C$2:$C$28,MATCH(B23,Узлы!$A$2:$A$28,0))</f>
        <v>м²</v>
      </c>
      <c r="E23" s="8">
        <f>Объёмы!$I$9+24</f>
        <v>155.99</v>
      </c>
      <c r="F23" s="8">
        <f>INDEX(Узлы!$G$2:$G$28,MATCH(B23,Узлы!$A$2:$A$28,0))</f>
        <v>10.0</v>
      </c>
      <c r="G23" s="8">
        <f>INDEX(Узлы!$E$2:$E$28,MATCH(B23,Узлы!$A$2:$A$28,0))</f>
        <v>5.4</v>
      </c>
      <c r="H23" s="9">
        <f>E23*F23</f>
        <v>1559.9</v>
      </c>
      <c r="I23" s="9">
        <f>E23*G23</f>
        <v>842.346</v>
      </c>
      <c r="J23" s="9">
        <f>H23+I23</f>
        <v>2402.246</v>
      </c>
      <c r="K23" s="10" t="inlineStr"/>
    </row>
    <row r="24">
      <c r="A24" s="6" t="n">
        <v>12</v>
      </c>
      <c r="B24" s="6" t="inlineStr">
        <is>
          <t>N13</t>
        </is>
      </c>
      <c r="C24" s="7" t="str">
        <f>INDEX(Узлы!$B$2:$B$28,MATCH(B24,Узлы!$A$2:$A$28,0))</f>
        <v>Окраска потолка 2 слоя + грунт</v>
      </c>
      <c r="D24" s="7" t="str">
        <f>INDEX(Узлы!$C$2:$C$28,MATCH(B24,Узлы!$A$2:$A$28,0))</f>
        <v>м²</v>
      </c>
      <c r="E24" s="8">
        <f>Объёмы!$J$9</f>
        <v>48.02</v>
      </c>
      <c r="F24" s="8">
        <f>INDEX(Узлы!$G$2:$G$28,MATCH(B24,Узлы!$A$2:$A$28,0))</f>
        <v>10.0</v>
      </c>
      <c r="G24" s="8">
        <f>INDEX(Узлы!$E$2:$E$28,MATCH(B24,Узлы!$A$2:$A$28,0))</f>
        <v>5.4</v>
      </c>
      <c r="H24" s="9">
        <f>E24*F24</f>
        <v>480.2</v>
      </c>
      <c r="I24" s="9">
        <f>E24*G24</f>
        <v>259.308</v>
      </c>
      <c r="J24" s="9">
        <f>H24+I24</f>
        <v>739.508</v>
      </c>
      <c r="K24" s="10" t="inlineStr"/>
    </row>
    <row r="25">
      <c r="C25" s="12" t="inlineStr">
        <is>
          <t>Итого по разделу</t>
        </is>
      </c>
      <c r="H25" s="13">
        <f>SUM(H20:H24)</f>
        <v>10332.63</v>
      </c>
      <c r="I25" s="13">
        <f>SUM(I20:I24)</f>
        <v>3447.769</v>
      </c>
      <c r="J25" s="13">
        <f>SUM(J20:J24)</f>
        <v>13780.399</v>
      </c>
    </row>
    <row r="27">
      <c r="A27" s="4" t="n"/>
      <c r="B27" s="4" t="n"/>
      <c r="C27" s="5" t="inlineStr">
        <is>
          <t>4. Полы: самонивелир + клеевой кварцвинил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6" t="n">
        <v>13</v>
      </c>
      <c r="B28" s="6" t="inlineStr">
        <is>
          <t>N14</t>
        </is>
      </c>
      <c r="C28" s="7" t="str">
        <f>INDEX(Узлы!$B$2:$B$28,MATCH(B28,Узлы!$A$2:$A$28,0))</f>
        <v>Подготовка существующей стяжки: шлифовка, пылесос, ремонт трещин</v>
      </c>
      <c r="D28" s="7" t="str">
        <f>INDEX(Узлы!$C$2:$C$28,MATCH(B28,Узлы!$A$2:$A$28,0))</f>
        <v>м²</v>
      </c>
      <c r="E28" s="8">
        <f>Объёмы!$E$9</f>
        <v>48.02</v>
      </c>
      <c r="F28" s="8">
        <f>INDEX(Узлы!$G$2:$G$28,MATCH(B28,Узлы!$A$2:$A$28,0))</f>
        <v>4.0</v>
      </c>
      <c r="G28" s="8">
        <f>INDEX(Узлы!$E$2:$E$28,MATCH(B28,Узлы!$A$2:$A$28,0))</f>
        <v>0.5</v>
      </c>
      <c r="H28" s="9">
        <f>E28*F28</f>
        <v>192.08</v>
      </c>
      <c r="I28" s="9">
        <f>E28*G28</f>
        <v>24.01</v>
      </c>
      <c r="J28" s="9">
        <f>H28+I28</f>
        <v>216.09</v>
      </c>
      <c r="K28" s="10" t="inlineStr">
        <is>
          <t>обязательно: CM-тест влажности ≤ 2 %, ровность ≤ 2 мм/2 м — акт</t>
        </is>
      </c>
    </row>
    <row r="29">
      <c r="A29" s="6" t="n">
        <v>14</v>
      </c>
      <c r="B29" s="6" t="inlineStr">
        <is>
          <t>N15</t>
        </is>
      </c>
      <c r="C29" s="7" t="str">
        <f>INDEX(Узлы!$B$2:$B$28,MATCH(B29,Узлы!$A$2:$A$28,0))</f>
        <v>Самонивелир 5 мм с грунтом ×2 и демпфером</v>
      </c>
      <c r="D29" s="7" t="str">
        <f>INDEX(Узлы!$C$2:$C$28,MATCH(B29,Узлы!$A$2:$A$28,0))</f>
        <v>м²</v>
      </c>
      <c r="E29" s="8">
        <f>Объёмы!$E$9</f>
        <v>48.02</v>
      </c>
      <c r="F29" s="8">
        <f>INDEX(Узлы!$G$2:$G$28,MATCH(B29,Узлы!$A$2:$A$28,0))</f>
        <v>18.0</v>
      </c>
      <c r="G29" s="8">
        <f>INDEX(Узлы!$E$2:$E$28,MATCH(B29,Узлы!$A$2:$A$28,0))</f>
        <v>9.0</v>
      </c>
      <c r="H29" s="9">
        <f>E29*F29</f>
        <v>864.36</v>
      </c>
      <c r="I29" s="9">
        <f>E29*G29</f>
        <v>432.18</v>
      </c>
      <c r="J29" s="9">
        <f>H29+I29</f>
        <v>1296.54</v>
      </c>
      <c r="K29" s="10" t="inlineStr">
        <is>
          <t>средняя толщина 5 мм; при перепадах 8–10 мм ×1,6 к материалу</t>
        </is>
      </c>
    </row>
    <row r="30">
      <c r="A30" s="6" t="n">
        <v>15</v>
      </c>
      <c r="B30" s="6" t="inlineStr">
        <is>
          <t>N16</t>
        </is>
      </c>
      <c r="C30" s="7" t="str">
        <f>INDEX(Узлы!$B$2:$B$28,MATCH(B30,Узлы!$A$2:$A$28,0))</f>
        <v>Кварцвинил клеевой, палуба (с запасом 7 %)</v>
      </c>
      <c r="D30" s="7" t="str">
        <f>INDEX(Узлы!$C$2:$C$28,MATCH(B30,Узлы!$A$2:$A$28,0))</f>
        <v>м²</v>
      </c>
      <c r="E30" s="8">
        <f>Объёмы!$E$9</f>
        <v>48.02</v>
      </c>
      <c r="F30" s="8">
        <f>INDEX(Узлы!$G$2:$G$28,MATCH(B30,Узлы!$A$2:$A$28,0))</f>
        <v>30.0</v>
      </c>
      <c r="G30" s="8">
        <f>INDEX(Узлы!$E$2:$E$28,MATCH(B30,Узлы!$A$2:$A$28,0))</f>
        <v>60.0</v>
      </c>
      <c r="H30" s="9">
        <f>E30*F30</f>
        <v>1440.6</v>
      </c>
      <c r="I30" s="9">
        <f>E30*G30</f>
        <v>2881.2</v>
      </c>
      <c r="J30" s="9">
        <f>H30+I30</f>
        <v>4321.8</v>
      </c>
      <c r="K30" s="10" t="inlineStr">
        <is>
          <t>сушка самонивелира 7 суток до укладки</t>
        </is>
      </c>
    </row>
    <row r="31">
      <c r="A31" s="6" t="n">
        <v>16</v>
      </c>
      <c r="B31" s="6" t="inlineStr">
        <is>
          <t>N17</t>
        </is>
      </c>
      <c r="C31" s="7" t="str">
        <f>INDEX(Узлы!$B$2:$B$28,MATCH(B31,Узлы!$A$2:$A$28,0))</f>
        <v>Плинтус МДФ</v>
      </c>
      <c r="D31" s="7" t="str">
        <f>INDEX(Узлы!$C$2:$C$28,MATCH(B31,Узлы!$A$2:$A$28,0))</f>
        <v>м.п.</v>
      </c>
      <c r="E31" s="8">
        <f>Объёмы!$L$9</f>
        <v>39.8</v>
      </c>
      <c r="F31" s="8">
        <f>INDEX(Узлы!$G$2:$G$28,MATCH(B31,Узлы!$A$2:$A$28,0))</f>
        <v>19.0</v>
      </c>
      <c r="G31" s="8">
        <f>INDEX(Узлы!$E$2:$E$28,MATCH(B31,Узлы!$A$2:$A$28,0))</f>
        <v>6.5</v>
      </c>
      <c r="H31" s="9">
        <f>E31*F31</f>
        <v>756.2</v>
      </c>
      <c r="I31" s="9">
        <f>E31*G31</f>
        <v>258.7</v>
      </c>
      <c r="J31" s="9">
        <f>H31+I31</f>
        <v>1014.9</v>
      </c>
      <c r="K31" s="10" t="inlineStr"/>
    </row>
    <row r="32">
      <c r="A32" s="6" t="n">
        <v>17</v>
      </c>
      <c r="B32" s="6" t="inlineStr">
        <is>
          <t>N18</t>
        </is>
      </c>
      <c r="C32" s="7" t="str">
        <f>INDEX(Узлы!$B$2:$B$28,MATCH(B32,Узлы!$A$2:$A$28,0))</f>
        <v>Порожек</v>
      </c>
      <c r="D32" s="7" t="str">
        <f>INDEX(Узлы!$C$2:$C$28,MATCH(B32,Узлы!$A$2:$A$28,0))</f>
        <v>шт</v>
      </c>
      <c r="E32" s="11" t="n">
        <v>4</v>
      </c>
      <c r="F32" s="8">
        <f>INDEX(Узлы!$G$2:$G$28,MATCH(B32,Узлы!$A$2:$A$28,0))</f>
        <v>25.0</v>
      </c>
      <c r="G32" s="8">
        <f>INDEX(Узлы!$E$2:$E$28,MATCH(B32,Узлы!$A$2:$A$28,0))</f>
        <v>22.0</v>
      </c>
      <c r="H32" s="9">
        <f>E32*F32</f>
        <v>100.0</v>
      </c>
      <c r="I32" s="9">
        <f>E32*G32</f>
        <v>88.0</v>
      </c>
      <c r="J32" s="9">
        <f>H32+I32</f>
        <v>188.0</v>
      </c>
      <c r="K32" s="10" t="inlineStr">
        <is>
          <t>порожки в дверных проёмах</t>
        </is>
      </c>
    </row>
    <row r="33">
      <c r="C33" s="12" t="inlineStr">
        <is>
          <t>Итого по разделу</t>
        </is>
      </c>
      <c r="H33" s="13">
        <f>SUM(H28:H32)</f>
        <v>3353.24</v>
      </c>
      <c r="I33" s="13">
        <f>SUM(I28:I32)</f>
        <v>3684.09</v>
      </c>
      <c r="J33" s="13">
        <f>SUM(J28:J32)</f>
        <v>7037.33</v>
      </c>
    </row>
    <row r="35">
      <c r="A35" s="4" t="n"/>
      <c r="B35" s="4" t="n"/>
      <c r="C35" s="5" t="inlineStr">
        <is>
          <t>5. Электрика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6" t="n">
        <v>18</v>
      </c>
      <c r="B36" s="6" t="inlineStr">
        <is>
          <t>N19</t>
        </is>
      </c>
      <c r="C36" s="7" t="str">
        <f>INDEX(Узлы!$B$2:$B$28,MATCH(B36,Узлы!$A$2:$A$28,0))</f>
        <v>Электроточка полная (штроба + 6 м кабеля + подрозетник + механизм)</v>
      </c>
      <c r="D36" s="7" t="str">
        <f>INDEX(Узлы!$C$2:$C$28,MATCH(B36,Узлы!$A$2:$A$28,0))</f>
        <v>точка</v>
      </c>
      <c r="E36" s="11" t="n">
        <v>45</v>
      </c>
      <c r="F36" s="8">
        <f>INDEX(Узлы!$G$2:$G$28,MATCH(B36,Узлы!$A$2:$A$28,0))</f>
        <v>90.0</v>
      </c>
      <c r="G36" s="8">
        <f>INDEX(Узлы!$E$2:$E$28,MATCH(B36,Узлы!$A$2:$A$28,0))</f>
        <v>40.0</v>
      </c>
      <c r="H36" s="9">
        <f>E36*F36</f>
        <v>4050.0</v>
      </c>
      <c r="I36" s="9">
        <f>E36*G36</f>
        <v>1800.0</v>
      </c>
      <c r="J36" s="9">
        <f>H36+I36</f>
        <v>5850.0</v>
      </c>
      <c r="K36" s="10" t="inlineStr">
        <is>
          <t>≈ 0,8 точки на м² квартиры; уточнить по проекту электрики</t>
        </is>
      </c>
    </row>
    <row r="37">
      <c r="A37" s="6" t="n">
        <v>19</v>
      </c>
      <c r="B37" s="6" t="inlineStr">
        <is>
          <t>N20</t>
        </is>
      </c>
      <c r="C37" s="7" t="str">
        <f>INDEX(Узлы!$B$2:$B$28,MATCH(B37,Узлы!$A$2:$A$28,0))</f>
        <v>Щит квартирный 24 модуля, IEK/ABB</v>
      </c>
      <c r="D37" s="7" t="str">
        <f>INDEX(Узлы!$C$2:$C$28,MATCH(B37,Узлы!$A$2:$A$28,0))</f>
        <v>шт</v>
      </c>
      <c r="E37" s="11" t="n">
        <v>1</v>
      </c>
      <c r="F37" s="8">
        <f>INDEX(Узлы!$G$2:$G$28,MATCH(B37,Узлы!$A$2:$A$28,0))</f>
        <v>900.0</v>
      </c>
      <c r="G37" s="8">
        <f>INDEX(Узлы!$E$2:$E$28,MATCH(B37,Узлы!$A$2:$A$28,0))</f>
        <v>700.0</v>
      </c>
      <c r="H37" s="9">
        <f>E37*F37</f>
        <v>900.0</v>
      </c>
      <c r="I37" s="9">
        <f>E37*G37</f>
        <v>700.0</v>
      </c>
      <c r="J37" s="9">
        <f>H37+I37</f>
        <v>1600.0</v>
      </c>
      <c r="K37" s="10" t="inlineStr"/>
    </row>
    <row r="38">
      <c r="C38" s="12" t="inlineStr">
        <is>
          <t>Итого по разделу</t>
        </is>
      </c>
      <c r="H38" s="13">
        <f>SUM(H36:H37)</f>
        <v>4950.0</v>
      </c>
      <c r="I38" s="13">
        <f>SUM(I36:I37)</f>
        <v>2500.0</v>
      </c>
      <c r="J38" s="13">
        <f>SUM(J36:J37)</f>
        <v>7450.0</v>
      </c>
    </row>
    <row r="40">
      <c r="A40" s="4" t="n"/>
      <c r="B40" s="4" t="n"/>
      <c r="C40" s="5" t="inlineStr">
        <is>
          <t>6. Сантехника и санузел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6" t="n">
        <v>20</v>
      </c>
      <c r="B41" s="6" t="inlineStr">
        <is>
          <t>N21</t>
        </is>
      </c>
      <c r="C41" s="7" t="str">
        <f>INDEX(Узлы!$B$2:$B$28,MATCH(B41,Узлы!$A$2:$A$28,0))</f>
        <v>Точка водоснабжения PPR/PEX</v>
      </c>
      <c r="D41" s="7" t="str">
        <f>INDEX(Узлы!$C$2:$C$28,MATCH(B41,Узлы!$A$2:$A$28,0))</f>
        <v>точка</v>
      </c>
      <c r="E41" s="11" t="n">
        <v>8</v>
      </c>
      <c r="F41" s="8">
        <f>INDEX(Узлы!$G$2:$G$28,MATCH(B41,Узлы!$A$2:$A$28,0))</f>
        <v>70.0</v>
      </c>
      <c r="G41" s="8">
        <f>INDEX(Узлы!$E$2:$E$28,MATCH(B41,Узлы!$A$2:$A$28,0))</f>
        <v>20.0</v>
      </c>
      <c r="H41" s="9">
        <f>E41*F41</f>
        <v>560.0</v>
      </c>
      <c r="I41" s="9">
        <f>E41*G41</f>
        <v>160.0</v>
      </c>
      <c r="J41" s="9">
        <f>H41+I41</f>
        <v>720.0</v>
      </c>
      <c r="K41" s="10" t="inlineStr">
        <is>
          <t>ХВС/ГВС: раковина, ванна/душ, унитаз, стиральная, кухня</t>
        </is>
      </c>
    </row>
    <row r="42">
      <c r="A42" s="6" t="n">
        <v>21</v>
      </c>
      <c r="B42" s="6" t="inlineStr">
        <is>
          <t>N22</t>
        </is>
      </c>
      <c r="C42" s="7" t="str">
        <f>INDEX(Узлы!$B$2:$B$28,MATCH(B42,Узлы!$A$2:$A$28,0))</f>
        <v>Точка канализации</v>
      </c>
      <c r="D42" s="7" t="str">
        <f>INDEX(Узлы!$C$2:$C$28,MATCH(B42,Узлы!$A$2:$A$28,0))</f>
        <v>точка</v>
      </c>
      <c r="E42" s="11" t="n">
        <v>4</v>
      </c>
      <c r="F42" s="8">
        <f>INDEX(Узлы!$G$2:$G$28,MATCH(B42,Узлы!$A$2:$A$28,0))</f>
        <v>45.0</v>
      </c>
      <c r="G42" s="8">
        <f>INDEX(Узлы!$E$2:$E$28,MATCH(B42,Узлы!$A$2:$A$28,0))</f>
        <v>12.0</v>
      </c>
      <c r="H42" s="9">
        <f>E42*F42</f>
        <v>180.0</v>
      </c>
      <c r="I42" s="9">
        <f>E42*G42</f>
        <v>48.0</v>
      </c>
      <c r="J42" s="9">
        <f>H42+I42</f>
        <v>228.0</v>
      </c>
      <c r="K42" s="10" t="inlineStr"/>
    </row>
    <row r="43">
      <c r="A43" s="6" t="n">
        <v>22</v>
      </c>
      <c r="B43" s="6" t="inlineStr">
        <is>
          <t>N23</t>
        </is>
      </c>
      <c r="C43" s="7" t="str">
        <f>INDEX(Узлы!$B$2:$B$28,MATCH(B43,Узлы!$A$2:$A$28,0))</f>
        <v>Гидроизоляция цементная 2 слоя (CR 65)</v>
      </c>
      <c r="D43" s="7" t="str">
        <f>INDEX(Узлы!$C$2:$C$28,MATCH(B43,Узлы!$A$2:$A$28,0))</f>
        <v>м²</v>
      </c>
      <c r="E43" s="11" t="n">
        <v>6</v>
      </c>
      <c r="F43" s="8">
        <f>INDEX(Узлы!$G$2:$G$28,MATCH(B43,Узлы!$A$2:$A$28,0))</f>
        <v>10.0</v>
      </c>
      <c r="G43" s="8">
        <f>INDEX(Узлы!$E$2:$E$28,MATCH(B43,Узлы!$A$2:$A$28,0))</f>
        <v>8.5</v>
      </c>
      <c r="H43" s="9">
        <f>E43*F43</f>
        <v>60.0</v>
      </c>
      <c r="I43" s="9">
        <f>E43*G43</f>
        <v>51.0</v>
      </c>
      <c r="J43" s="9">
        <f>H43+I43</f>
        <v>111.0</v>
      </c>
      <c r="K43" s="10" t="inlineStr">
        <is>
          <t>пол санузла + заход на стены 300 мм</t>
        </is>
      </c>
    </row>
    <row r="44">
      <c r="A44" s="6" t="n">
        <v>23</v>
      </c>
      <c r="B44" s="6" t="inlineStr">
        <is>
          <t>N24</t>
        </is>
      </c>
      <c r="C44" s="7" t="str">
        <f>INDEX(Узлы!$B$2:$B$28,MATCH(B44,Узлы!$A$2:$A$28,0))</f>
        <v>Плитка на стены 30×60 (плитка 30 руб./м²)</v>
      </c>
      <c r="D44" s="7" t="str">
        <f>INDEX(Узлы!$C$2:$C$28,MATCH(B44,Узлы!$A$2:$A$28,0))</f>
        <v>м²</v>
      </c>
      <c r="E44" s="11" t="n">
        <v>22</v>
      </c>
      <c r="F44" s="8">
        <f>INDEX(Узлы!$G$2:$G$28,MATCH(B44,Узлы!$A$2:$A$28,0))</f>
        <v>45.0</v>
      </c>
      <c r="G44" s="8">
        <f>INDEX(Узлы!$E$2:$E$28,MATCH(B44,Узлы!$A$2:$A$28,0))</f>
        <v>37.0</v>
      </c>
      <c r="H44" s="9">
        <f>E44*F44</f>
        <v>990.0</v>
      </c>
      <c r="I44" s="9">
        <f>E44*G44</f>
        <v>814.0</v>
      </c>
      <c r="J44" s="9">
        <f>H44+I44</f>
        <v>1804.0</v>
      </c>
      <c r="K44" s="10" t="inlineStr">
        <is>
          <t>стены санузла; цена плитки 30 руб./м² условная</t>
        </is>
      </c>
    </row>
    <row r="45">
      <c r="A45" s="6" t="n">
        <v>24</v>
      </c>
      <c r="B45" s="6" t="inlineStr">
        <is>
          <t>N25</t>
        </is>
      </c>
      <c r="C45" s="7" t="str">
        <f>INDEX(Узлы!$B$2:$B$28,MATCH(B45,Узлы!$A$2:$A$28,0))</f>
        <v>Керамогранит 60×60 на пол (плитка 55 руб./м²)</v>
      </c>
      <c r="D45" s="7" t="str">
        <f>INDEX(Узлы!$C$2:$C$28,MATCH(B45,Узлы!$A$2:$A$28,0))</f>
        <v>м²</v>
      </c>
      <c r="E45" s="11" t="n">
        <v>4</v>
      </c>
      <c r="F45" s="8">
        <f>INDEX(Узлы!$G$2:$G$28,MATCH(B45,Узлы!$A$2:$A$28,0))</f>
        <v>55.0</v>
      </c>
      <c r="G45" s="8">
        <f>INDEX(Узлы!$E$2:$E$28,MATCH(B45,Узлы!$A$2:$A$28,0))</f>
        <v>66.0</v>
      </c>
      <c r="H45" s="9">
        <f>E45*F45</f>
        <v>220.0</v>
      </c>
      <c r="I45" s="9">
        <f>E45*G45</f>
        <v>264.0</v>
      </c>
      <c r="J45" s="9">
        <f>H45+I45</f>
        <v>484.0</v>
      </c>
      <c r="K45" s="10" t="inlineStr">
        <is>
          <t>пол санузла; керамогранит 55 руб./м² условный</t>
        </is>
      </c>
    </row>
    <row r="46">
      <c r="C46" s="12" t="inlineStr">
        <is>
          <t>Итого по разделу</t>
        </is>
      </c>
      <c r="H46" s="13">
        <f>SUM(H41:H45)</f>
        <v>2010.0</v>
      </c>
      <c r="I46" s="13">
        <f>SUM(I41:I45)</f>
        <v>1337.0</v>
      </c>
      <c r="J46" s="13">
        <f>SUM(J41:J45)</f>
        <v>3347.0</v>
      </c>
    </row>
    <row r="48">
      <c r="A48" s="4" t="n"/>
      <c r="B48" s="4" t="n"/>
      <c r="C48" s="5" t="inlineStr">
        <is>
          <t>7. Двери и завершение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6" t="n">
        <v>25</v>
      </c>
      <c r="B49" s="6" t="inlineStr">
        <is>
          <t>N26</t>
        </is>
      </c>
      <c r="C49" s="7" t="str">
        <f>INDEX(Узлы!$B$2:$B$28,MATCH(B49,Узлы!$A$2:$A$28,0))</f>
        <v>Дверь межкомнатная, установка блока</v>
      </c>
      <c r="D49" s="7" t="str">
        <f>INDEX(Узлы!$C$2:$C$28,MATCH(B49,Узлы!$A$2:$A$28,0))</f>
        <v>шт</v>
      </c>
      <c r="E49" s="11" t="n">
        <v>4</v>
      </c>
      <c r="F49" s="8">
        <f>INDEX(Узлы!$G$2:$G$28,MATCH(B49,Узлы!$A$2:$A$28,0))</f>
        <v>118.0</v>
      </c>
      <c r="G49" s="8">
        <f>INDEX(Узлы!$E$2:$E$28,MATCH(B49,Узлы!$A$2:$A$28,0))</f>
        <v>15.0</v>
      </c>
      <c r="H49" s="9">
        <f>E49*F49</f>
        <v>472.0</v>
      </c>
      <c r="I49" s="9">
        <f>E49*G49</f>
        <v>60.0</v>
      </c>
      <c r="J49" s="9">
        <f>H49+I49</f>
        <v>532.0</v>
      </c>
      <c r="K49" s="10" t="inlineStr">
        <is>
          <t>сами дверные блоки (232–890 руб.) — добавить строкой закупки</t>
        </is>
      </c>
    </row>
    <row r="50">
      <c r="A50" s="6" t="n">
        <v>26</v>
      </c>
      <c r="B50" s="6" t="inlineStr">
        <is>
          <t>N27</t>
        </is>
      </c>
      <c r="C50" s="7" t="str">
        <f>INDEX(Узлы!$B$2:$B$28,MATCH(B50,Узлы!$A$2:$A$28,0))</f>
        <v>Уборка после ремонта</v>
      </c>
      <c r="D50" s="7" t="str">
        <f>INDEX(Узлы!$C$2:$C$28,MATCH(B50,Узлы!$A$2:$A$28,0))</f>
        <v>м²</v>
      </c>
      <c r="E50" s="8">
        <f>Объёмы!$E$8</f>
        <v>51.98</v>
      </c>
      <c r="F50" s="8">
        <f>INDEX(Узлы!$G$2:$G$28,MATCH(B50,Узлы!$A$2:$A$28,0))</f>
        <v>4.5</v>
      </c>
      <c r="G50" s="8">
        <f>INDEX(Узлы!$E$2:$E$28,MATCH(B50,Узлы!$A$2:$A$28,0))</f>
        <v>0.0</v>
      </c>
      <c r="H50" s="9">
        <f>E50*F50</f>
        <v>233.91</v>
      </c>
      <c r="I50" s="9">
        <f>E50*G50</f>
        <v>0.0</v>
      </c>
      <c r="J50" s="9">
        <f>H50+I50</f>
        <v>233.91</v>
      </c>
      <c r="K50" s="10" t="inlineStr"/>
    </row>
    <row r="51">
      <c r="C51" s="12" t="inlineStr">
        <is>
          <t>Итого по разделу</t>
        </is>
      </c>
      <c r="H51" s="13">
        <f>SUM(H49:H50)</f>
        <v>705.91</v>
      </c>
      <c r="I51" s="13">
        <f>SUM(I49:I50)</f>
        <v>60.0</v>
      </c>
      <c r="J51" s="13">
        <f>SUM(J49:J50)</f>
        <v>765.91</v>
      </c>
    </row>
    <row r="54">
      <c r="C54" s="12" t="inlineStr">
        <is>
          <t>Итого прямые затраты</t>
        </is>
      </c>
      <c r="H54" s="14">
        <f>H11+H17+H25+H33+H38+H46+H51</f>
        <v>23261.15</v>
      </c>
      <c r="I54" s="14">
        <f>I11+I17+I25+I33+I38+I46+I51</f>
        <v>11616.359</v>
      </c>
      <c r="J54" s="13">
        <f>H54+I54</f>
        <v>34877.509</v>
      </c>
    </row>
    <row r="55">
      <c r="C55" s="15" t="inlineStr">
        <is>
          <t>Запас на материалы</t>
        </is>
      </c>
      <c r="I55" s="16">
        <f>I54*Параметры!$B$4</f>
        <v>1161.6359</v>
      </c>
      <c r="J55" s="17">
        <f>I55</f>
        <v>1161.6359</v>
      </c>
      <c r="K55" s="2" t="inlineStr">
        <is>
          <t>параметр «Запас на смеси»; в LVT запас уже учтён</t>
        </is>
      </c>
    </row>
    <row r="56">
      <c r="C56" s="15" t="inlineStr">
        <is>
          <t>Накладные и прибыль подрядчика</t>
        </is>
      </c>
      <c r="H56" s="16">
        <f>H54*Параметры!$B$7</f>
        <v>4652.23</v>
      </c>
      <c r="J56" s="17">
        <f>H56</f>
        <v>4652.23</v>
      </c>
      <c r="K56" s="2" t="inlineStr">
        <is>
          <t>параметр; официально — % от ФОТ по пост. № 146</t>
        </is>
      </c>
    </row>
    <row r="57">
      <c r="C57" s="15" t="inlineStr">
        <is>
          <t>Доставка и подъём материалов</t>
        </is>
      </c>
      <c r="I57" s="16">
        <f>Параметры!$B$8</f>
        <v>400.0</v>
      </c>
      <c r="J57" s="17">
        <f>I57</f>
        <v>400.0</v>
      </c>
      <c r="K57" s="2" t="inlineStr">
        <is>
          <t>параметр (фикс)</t>
        </is>
      </c>
    </row>
    <row r="58">
      <c r="C58" s="15" t="inlineStr">
        <is>
          <t>Непредвиденные</t>
        </is>
      </c>
      <c r="J58" s="17">
        <f>(J54+J55+J56+J57)*Параметры!$B$6</f>
        <v>2054.568745</v>
      </c>
      <c r="K58" s="2" t="inlineStr">
        <is>
          <t>параметр; официально 1,5 % для текущего ремонта</t>
        </is>
      </c>
    </row>
    <row r="59">
      <c r="C59" s="18" t="inlineStr">
        <is>
          <t>ИТОГО К ОПЛАТЕ, BYN</t>
        </is>
      </c>
      <c r="H59" s="14">
        <f>H54+H56</f>
        <v>27913.38</v>
      </c>
      <c r="I59" s="14">
        <f>I54+I55+I57</f>
        <v>13177.9949</v>
      </c>
      <c r="J59" s="19">
        <f>J54+J55+J56+J57+J58</f>
        <v>43145.943645</v>
      </c>
    </row>
    <row r="60">
      <c r="C60" s="15" t="inlineStr">
        <is>
          <t>Справочно: эквивалент в €</t>
        </is>
      </c>
      <c r="J60" s="17">
        <f>J59/Параметры!$B$3</f>
        <v>12510.7848305158</v>
      </c>
      <c r="K60" s="2" t="inlineStr">
        <is>
          <t>по курсу НБ РБ из «Параметров»; только как валютная оговорка договора</t>
        </is>
      </c>
    </row>
    <row r="61">
      <c r="C61" s="15" t="inlineStr">
        <is>
          <t>Справочно: на м² общей площади, BYN</t>
        </is>
      </c>
      <c r="J61" s="17">
        <f>J59/Объёмы!$E$8</f>
        <v>830.0489350712</v>
      </c>
      <c r="K61" s="2" t="inlineStr">
        <is>
          <t>сравнить с рыночным диапазоном капремонта 350–600 (работа) / 700–1 100 (с материалами)</t>
        </is>
      </c>
    </row>
    <row r="62">
      <c r="C62" s="15" t="inlineStr">
        <is>
          <t>Справочно: доля работ в итоге</t>
        </is>
      </c>
      <c r="J62" s="20">
        <f>H59/J59</f>
        <v>0.6469525903</v>
      </c>
      <c r="K62" s="2" t="inlineStr">
        <is>
          <t>типично 40–60 %</t>
        </is>
      </c>
    </row>
    <row r="64">
      <c r="C64" s="2" t="inlineStr">
        <is>
          <t>Пример иллюстративный: объёмы взяты с листа «Объёмы» для условной квартиры 55 м². Для реального объекта заменить замеры, состав разделов и цены материалов (плитка, LVT, двери, сантехприборы).</t>
        </is>
      </c>
    </row>
    <row r="65">
      <c r="C65" s="2" t="inlineStr">
        <is>
          <t>Не включено: сами дверные блоки, сантехприборы, светильники, кухня, натяжные потолки, микроцемент (считается по модели студии из CLAUDE.md / costs.py).</t>
        </is>
      </c>
    </row>
    <row r="66">
      <c r="C66" s="2" t="inlineStr">
        <is>
          <t>Ставки «типично» — медиана прайсов минских компаний с договором; агрегаторы частников дают на 30–50 % ниже, см. «Ставки» (мин/макс).</t>
        </is>
      </c>
    </row>
    <row r="67">
      <c r="C67" s="2" t="inlineStr">
        <is>
          <t>Гарантия на пол возможна только при протоколе влажности основания CM ≤ 2,0 % и ровности ≤ 2 мм на 2 м (акт скрытых работ).</t>
        </is>
      </c>
    </row>
    <row r="68">
      <c r="C68" s="2" t="inlineStr">
        <is>
          <t>Источники и техкарты: документы/памятки/смета-ремонт-под-ключ-Минск.md и смета-источники/.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70" customWidth="1" min="3" max="3"/>
  </cols>
  <sheetData>
    <row r="1">
      <c r="A1" s="1" t="inlineStr">
        <is>
          <t>Параметры расчёта</t>
        </is>
      </c>
    </row>
    <row r="2">
      <c r="A2" s="21" t="inlineStr">
        <is>
          <t>Показатель</t>
        </is>
      </c>
      <c r="B2" s="21" t="inlineStr">
        <is>
          <t>Значение</t>
        </is>
      </c>
      <c r="C2" s="21" t="inlineStr">
        <is>
          <t>Источник / пояснение</t>
        </is>
      </c>
    </row>
    <row r="3">
      <c r="A3" s="15" t="inlineStr">
        <is>
          <t>Курс НБ РБ, BYN за €</t>
        </is>
      </c>
      <c r="B3" s="22" t="n">
        <v>3.4487</v>
      </c>
      <c r="C3" s="23" t="inlineStr">
        <is>
          <t>api.nbrb.by, 27.09.2026. Для справочного евро-эквивалента.</t>
        </is>
      </c>
    </row>
    <row r="4">
      <c r="A4" s="15" t="inlineStr">
        <is>
          <t>Запас на смеси и штучные материалы</t>
        </is>
      </c>
      <c r="B4" s="24" t="n">
        <v>0.1</v>
      </c>
      <c r="C4" s="23" t="inlineStr">
        <is>
          <t>Практика: смеси 5–10 %, холст 10 %. Применяется к строке «Материалы» сметы.</t>
        </is>
      </c>
    </row>
    <row r="5">
      <c r="A5" s="15" t="inlineStr">
        <is>
          <t>Запас на напольное покрытие (LVT палуба)</t>
        </is>
      </c>
      <c r="B5" s="24" t="n">
        <v>0.07000000000000001</v>
      </c>
      <c r="C5" s="23" t="inlineStr">
        <is>
          <t>5–7 % палуба, 10–12 % ёлка/диагональ. Уже учтён в цене материала узла LVT.</t>
        </is>
      </c>
    </row>
    <row r="6">
      <c r="A6" s="15" t="inlineStr">
        <is>
          <t>Непредвиденные, % от работ и материалов</t>
        </is>
      </c>
      <c r="B6" s="24" t="n">
        <v>0.05</v>
      </c>
      <c r="C6" s="23" t="inlineStr">
        <is>
          <t>Официально 1,5 % (пост. № 116 п. 33.5, текущий ремонт); вторичка 5–10 %.</t>
        </is>
      </c>
    </row>
    <row r="7">
      <c r="A7" s="15" t="inlineStr">
        <is>
          <t>Накладные и прибыль подрядчика, % от работ</t>
        </is>
      </c>
      <c r="B7" s="24" t="n">
        <v>0.2</v>
      </c>
      <c r="C7" s="23" t="inlineStr">
        <is>
          <t>Компании 15–30 % к работам; бригады 0–10 %. Официально ОХР 83,83 % + ПП 45,82 %×1,115 от ФОТ (пост. № 146).</t>
        </is>
      </c>
    </row>
    <row r="8">
      <c r="A8" s="15" t="inlineStr">
        <is>
          <t>Доставка и подъём материалов, BYN (фикс)</t>
        </is>
      </c>
      <c r="B8" s="22" t="n">
        <v>400</v>
      </c>
      <c r="C8" s="23" t="inlineStr">
        <is>
          <t>Газель 160–220/рейс, подъём 1–1,7 руб./место·этаж без лифта.</t>
        </is>
      </c>
    </row>
    <row r="9">
      <c r="A9" s="15" t="inlineStr">
        <is>
          <t>Стоимость чел.-ч 4 разряда (пост. № 145), BYN</t>
        </is>
      </c>
      <c r="B9" s="22" t="n">
        <v>16.96</v>
      </c>
      <c r="C9" s="23" t="inlineStr">
        <is>
          <t>С 01.01.2026. Справочно для ресурсного расчёта.</t>
        </is>
      </c>
    </row>
    <row r="10">
      <c r="A10" s="15" t="inlineStr">
        <is>
          <t>Полная «официальная» стоимость чел.-ч, BYN</t>
        </is>
      </c>
      <c r="B10" s="16">
        <f>B8*(1+0.8383+0.4582*1.115+0.34)</f>
        <v>1075.6772</v>
      </c>
      <c r="C10" s="23" t="inlineStr">
        <is>
          <t>16,96 × (1 + ОХР 83,83 % + ПП 45,82 %×1,115 + страховые 34 %) ≈ 45,6.</t>
        </is>
      </c>
    </row>
    <row r="12">
      <c r="A12" s="2" t="inlineStr">
        <is>
          <t>Жёлтые ячейки с синим шрифтом — ввод. Чёрные — формулы, зелёные — ссылки на другой лист.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8" customWidth="1" min="3" max="3"/>
    <col width="10" customWidth="1" min="4" max="4"/>
    <col width="8" customWidth="1" min="5" max="5"/>
    <col width="10" customWidth="1" min="6" max="6"/>
    <col width="8" customWidth="1" min="7" max="7"/>
    <col width="13" customWidth="1" min="8" max="8"/>
    <col width="40" customWidth="1" min="9" max="9"/>
  </cols>
  <sheetData>
    <row r="1">
      <c r="A1" s="21" t="inlineStr">
        <is>
          <t>Код</t>
        </is>
      </c>
      <c r="B1" s="21" t="inlineStr">
        <is>
          <t>Раздел</t>
        </is>
      </c>
      <c r="C1" s="21" t="inlineStr">
        <is>
          <t>Работа</t>
        </is>
      </c>
      <c r="D1" s="21" t="inlineStr">
        <is>
          <t>Ед.</t>
        </is>
      </c>
      <c r="E1" s="21" t="inlineStr">
        <is>
          <t>Мин</t>
        </is>
      </c>
      <c r="F1" s="21" t="inlineStr">
        <is>
          <t>Типично</t>
        </is>
      </c>
      <c r="G1" s="21" t="inlineStr">
        <is>
          <t>Макс</t>
        </is>
      </c>
      <c r="H1" s="21" t="inlineStr">
        <is>
          <t>С материалом</t>
        </is>
      </c>
      <c r="I1" s="21" t="inlineStr">
        <is>
          <t>Примечание</t>
        </is>
      </c>
    </row>
    <row r="2">
      <c r="A2" s="15" t="inlineStr">
        <is>
          <t>D01</t>
        </is>
      </c>
      <c r="B2" s="15" t="inlineStr">
        <is>
          <t>демонтаж</t>
        </is>
      </c>
      <c r="C2" s="15" t="inlineStr">
        <is>
          <t>Перегородка кирпич 1/2</t>
        </is>
      </c>
      <c r="D2" s="15" t="inlineStr">
        <is>
          <t>м2</t>
        </is>
      </c>
      <c r="E2" s="25" t="n">
        <v>8</v>
      </c>
      <c r="F2" s="25" t="n">
        <v>14</v>
      </c>
      <c r="G2" s="25" t="n">
        <v>45</v>
      </c>
      <c r="H2" s="15" t="inlineStr">
        <is>
          <t>нет</t>
        </is>
      </c>
      <c r="I2" s="15" t="inlineStr"/>
    </row>
    <row r="3">
      <c r="A3" s="15" t="inlineStr">
        <is>
          <t>D02</t>
        </is>
      </c>
      <c r="B3" s="15" t="inlineStr">
        <is>
          <t>демонтаж</t>
        </is>
      </c>
      <c r="C3" s="15" t="inlineStr">
        <is>
          <t>Перегородка ГКЛ</t>
        </is>
      </c>
      <c r="D3" s="15" t="inlineStr">
        <is>
          <t>м2</t>
        </is>
      </c>
      <c r="E3" s="25" t="n">
        <v>3</v>
      </c>
      <c r="F3" s="25" t="n">
        <v>12</v>
      </c>
      <c r="G3" s="25" t="n">
        <v>25</v>
      </c>
      <c r="H3" s="15" t="inlineStr">
        <is>
          <t>нет</t>
        </is>
      </c>
      <c r="I3" s="15" t="inlineStr"/>
    </row>
    <row r="4">
      <c r="A4" s="15" t="inlineStr">
        <is>
          <t>D03</t>
        </is>
      </c>
      <c r="B4" s="15" t="inlineStr">
        <is>
          <t>демонтаж</t>
        </is>
      </c>
      <c r="C4" s="15" t="inlineStr">
        <is>
          <t>Перегородка ж/б, бетон</t>
        </is>
      </c>
      <c r="D4" s="15" t="inlineStr">
        <is>
          <t>м2</t>
        </is>
      </c>
      <c r="E4" s="25" t="n">
        <v>15</v>
      </c>
      <c r="F4" s="25" t="n">
        <v>28</v>
      </c>
      <c r="G4" s="25" t="n">
        <v>40</v>
      </c>
      <c r="H4" s="15" t="inlineStr">
        <is>
          <t>нет</t>
        </is>
      </c>
      <c r="I4" s="15" t="inlineStr"/>
    </row>
    <row r="5">
      <c r="A5" s="15" t="inlineStr">
        <is>
          <t>D04</t>
        </is>
      </c>
      <c r="B5" s="15" t="inlineStr">
        <is>
          <t>демонтаж</t>
        </is>
      </c>
      <c r="C5" s="15" t="inlineStr">
        <is>
          <t>Перегородка блоки (ГСБ, керамзит)</t>
        </is>
      </c>
      <c r="D5" s="15" t="inlineStr">
        <is>
          <t>м2</t>
        </is>
      </c>
      <c r="E5" s="25" t="n">
        <v>12</v>
      </c>
      <c r="F5" s="25" t="n">
        <v>15</v>
      </c>
      <c r="G5" s="25" t="n">
        <v>45</v>
      </c>
      <c r="H5" s="15" t="inlineStr">
        <is>
          <t>нет</t>
        </is>
      </c>
      <c r="I5" s="15" t="inlineStr"/>
    </row>
    <row r="6">
      <c r="A6" s="15" t="inlineStr">
        <is>
          <t>D05</t>
        </is>
      </c>
      <c r="B6" s="15" t="inlineStr">
        <is>
          <t>демонтаж</t>
        </is>
      </c>
      <c r="C6" s="15" t="inlineStr">
        <is>
          <t>Стяжка до 5 см</t>
        </is>
      </c>
      <c r="D6" s="15" t="inlineStr">
        <is>
          <t>м2</t>
        </is>
      </c>
      <c r="E6" s="25" t="n">
        <v>7</v>
      </c>
      <c r="F6" s="25" t="n">
        <v>11</v>
      </c>
      <c r="G6" s="25" t="n">
        <v>30</v>
      </c>
      <c r="H6" s="15" t="inlineStr">
        <is>
          <t>нет</t>
        </is>
      </c>
      <c r="I6" s="15" t="inlineStr"/>
    </row>
    <row r="7">
      <c r="A7" s="15" t="inlineStr">
        <is>
          <t>D06</t>
        </is>
      </c>
      <c r="B7" s="15" t="inlineStr">
        <is>
          <t>демонтаж</t>
        </is>
      </c>
      <c r="C7" s="15" t="inlineStr">
        <is>
          <t>Стяжка 5–10 см</t>
        </is>
      </c>
      <c r="D7" s="15" t="inlineStr">
        <is>
          <t>м2</t>
        </is>
      </c>
      <c r="E7" s="25" t="n">
        <v>12</v>
      </c>
      <c r="F7" s="25" t="n">
        <v>16</v>
      </c>
      <c r="G7" s="25" t="n">
        <v>35</v>
      </c>
      <c r="H7" s="15" t="inlineStr">
        <is>
          <t>нет</t>
        </is>
      </c>
      <c r="I7" s="15" t="inlineStr"/>
    </row>
    <row r="8">
      <c r="A8" s="15" t="inlineStr">
        <is>
          <t>D07</t>
        </is>
      </c>
      <c r="B8" s="15" t="inlineStr">
        <is>
          <t>демонтаж</t>
        </is>
      </c>
      <c r="C8" s="15" t="inlineStr">
        <is>
          <t>Плитка стены/пол с клеем</t>
        </is>
      </c>
      <c r="D8" s="15" t="inlineStr">
        <is>
          <t>м2</t>
        </is>
      </c>
      <c r="E8" s="25" t="n">
        <v>4</v>
      </c>
      <c r="F8" s="25" t="n">
        <v>13</v>
      </c>
      <c r="G8" s="25" t="n">
        <v>20</v>
      </c>
      <c r="H8" s="15" t="inlineStr">
        <is>
          <t>нет</t>
        </is>
      </c>
      <c r="I8" s="15" t="inlineStr"/>
    </row>
    <row r="9">
      <c r="A9" s="15" t="inlineStr">
        <is>
          <t>D08</t>
        </is>
      </c>
      <c r="B9" s="15" t="inlineStr">
        <is>
          <t>демонтаж</t>
        </is>
      </c>
      <c r="C9" s="15" t="inlineStr">
        <is>
          <t>Штукатурка</t>
        </is>
      </c>
      <c r="D9" s="15" t="inlineStr">
        <is>
          <t>м2</t>
        </is>
      </c>
      <c r="E9" s="25" t="n">
        <v>4</v>
      </c>
      <c r="F9" s="25" t="n">
        <v>11</v>
      </c>
      <c r="G9" s="25" t="n">
        <v>15</v>
      </c>
      <c r="H9" s="15" t="inlineStr">
        <is>
          <t>нет</t>
        </is>
      </c>
      <c r="I9" s="15" t="inlineStr"/>
    </row>
    <row r="10">
      <c r="A10" s="15" t="inlineStr">
        <is>
          <t>D09</t>
        </is>
      </c>
      <c r="B10" s="15" t="inlineStr">
        <is>
          <t>демонтаж</t>
        </is>
      </c>
      <c r="C10" s="15" t="inlineStr">
        <is>
          <t>Обои</t>
        </is>
      </c>
      <c r="D10" s="15" t="inlineStr">
        <is>
          <t>м2</t>
        </is>
      </c>
      <c r="E10" s="25" t="n">
        <v>1.5</v>
      </c>
      <c r="F10" s="25" t="n">
        <v>3</v>
      </c>
      <c r="G10" s="25" t="n">
        <v>5</v>
      </c>
      <c r="H10" s="15" t="inlineStr">
        <is>
          <t>нет</t>
        </is>
      </c>
      <c r="I10" s="15" t="inlineStr"/>
    </row>
    <row r="11">
      <c r="A11" s="15" t="inlineStr">
        <is>
          <t>D10</t>
        </is>
      </c>
      <c r="B11" s="15" t="inlineStr">
        <is>
          <t>демонтаж</t>
        </is>
      </c>
      <c r="C11" s="15" t="inlineStr">
        <is>
          <t>Краска/старая шпаклёвка</t>
        </is>
      </c>
      <c r="D11" s="15" t="inlineStr">
        <is>
          <t>м2</t>
        </is>
      </c>
      <c r="E11" s="25" t="n">
        <v>4.5</v>
      </c>
      <c r="F11" s="25" t="n">
        <v>10</v>
      </c>
      <c r="G11" s="25" t="n">
        <v>15.5</v>
      </c>
      <c r="H11" s="15" t="inlineStr">
        <is>
          <t>нет</t>
        </is>
      </c>
      <c r="I11" s="15" t="inlineStr"/>
    </row>
    <row r="12">
      <c r="A12" s="15" t="inlineStr">
        <is>
          <t>D11</t>
        </is>
      </c>
      <c r="B12" s="15" t="inlineStr">
        <is>
          <t>демонтаж</t>
        </is>
      </c>
      <c r="C12" s="15" t="inlineStr">
        <is>
          <t>Дверной блок</t>
        </is>
      </c>
      <c r="D12" s="15" t="inlineStr">
        <is>
          <t>шт</t>
        </is>
      </c>
      <c r="E12" s="25" t="n">
        <v>10</v>
      </c>
      <c r="F12" s="25" t="n">
        <v>20</v>
      </c>
      <c r="G12" s="25" t="n">
        <v>40</v>
      </c>
      <c r="H12" s="15" t="inlineStr">
        <is>
          <t>нет</t>
        </is>
      </c>
      <c r="I12" s="15" t="inlineStr"/>
    </row>
    <row r="13">
      <c r="A13" s="15" t="inlineStr">
        <is>
          <t>D12</t>
        </is>
      </c>
      <c r="B13" s="15" t="inlineStr">
        <is>
          <t>демонтаж</t>
        </is>
      </c>
      <c r="C13" s="15" t="inlineStr">
        <is>
          <t>Ванна чугунная</t>
        </is>
      </c>
      <c r="D13" s="15" t="inlineStr">
        <is>
          <t>шт</t>
        </is>
      </c>
      <c r="E13" s="25" t="n">
        <v>30</v>
      </c>
      <c r="F13" s="25" t="n">
        <v>50</v>
      </c>
      <c r="G13" s="25" t="n">
        <v>133</v>
      </c>
      <c r="H13" s="15" t="inlineStr">
        <is>
          <t>нет</t>
        </is>
      </c>
      <c r="I13" s="15" t="inlineStr"/>
    </row>
    <row r="14">
      <c r="A14" s="15" t="inlineStr">
        <is>
          <t>D13</t>
        </is>
      </c>
      <c r="B14" s="15" t="inlineStr">
        <is>
          <t>демонтаж</t>
        </is>
      </c>
      <c r="C14" s="15" t="inlineStr">
        <is>
          <t>Унитаз</t>
        </is>
      </c>
      <c r="D14" s="15" t="inlineStr">
        <is>
          <t>шт</t>
        </is>
      </c>
      <c r="E14" s="25" t="n">
        <v>10</v>
      </c>
      <c r="F14" s="25" t="n">
        <v>20</v>
      </c>
      <c r="G14" s="25" t="n">
        <v>30</v>
      </c>
      <c r="H14" s="15" t="inlineStr">
        <is>
          <t>нет</t>
        </is>
      </c>
      <c r="I14" s="15" t="inlineStr"/>
    </row>
    <row r="15">
      <c r="A15" s="15" t="inlineStr">
        <is>
          <t>D14</t>
        </is>
      </c>
      <c r="B15" s="15" t="inlineStr">
        <is>
          <t>демонтаж</t>
        </is>
      </c>
      <c r="C15" s="15" t="inlineStr">
        <is>
          <t>Радиатор</t>
        </is>
      </c>
      <c r="D15" s="15" t="inlineStr">
        <is>
          <t>шт</t>
        </is>
      </c>
      <c r="E15" s="25" t="n">
        <v>22</v>
      </c>
      <c r="F15" s="25" t="n">
        <v>30</v>
      </c>
      <c r="G15" s="25" t="n">
        <v>40</v>
      </c>
      <c r="H15" s="15" t="inlineStr">
        <is>
          <t>нет</t>
        </is>
      </c>
      <c r="I15" s="15" t="inlineStr"/>
    </row>
    <row r="16">
      <c r="A16" s="15" t="inlineStr">
        <is>
          <t>D15</t>
        </is>
      </c>
      <c r="B16" s="15" t="inlineStr">
        <is>
          <t>демонтаж</t>
        </is>
      </c>
      <c r="C16" s="15" t="inlineStr">
        <is>
          <t>Вынос мусора (мешок, с лифтом)</t>
        </is>
      </c>
      <c r="D16" s="15" t="inlineStr">
        <is>
          <t>мешок</t>
        </is>
      </c>
      <c r="E16" s="25" t="n">
        <v>1.5</v>
      </c>
      <c r="F16" s="25" t="n">
        <v>2</v>
      </c>
      <c r="G16" s="25" t="n">
        <v>3</v>
      </c>
      <c r="H16" s="15" t="inlineStr">
        <is>
          <t>нет</t>
        </is>
      </c>
      <c r="I16" s="15" t="inlineStr"/>
    </row>
    <row r="17">
      <c r="A17" s="15" t="inlineStr">
        <is>
          <t>D16</t>
        </is>
      </c>
      <c r="B17" s="15" t="inlineStr">
        <is>
          <t>демонтаж</t>
        </is>
      </c>
      <c r="C17" s="15" t="inlineStr">
        <is>
          <t>Газель 4–5 м3, рейс</t>
        </is>
      </c>
      <c r="D17" s="15" t="inlineStr">
        <is>
          <t>рейс</t>
        </is>
      </c>
      <c r="E17" s="25" t="n">
        <v>160</v>
      </c>
      <c r="F17" s="25" t="n">
        <v>180</v>
      </c>
      <c r="G17" s="25" t="n">
        <v>220</v>
      </c>
      <c r="H17" s="15" t="inlineStr">
        <is>
          <t>нет</t>
        </is>
      </c>
      <c r="I17" s="15" t="inlineStr"/>
    </row>
    <row r="18">
      <c r="A18" s="15" t="inlineStr">
        <is>
          <t>D17</t>
        </is>
      </c>
      <c r="B18" s="15" t="inlineStr">
        <is>
          <t>демонтаж</t>
        </is>
      </c>
      <c r="C18" s="15" t="inlineStr">
        <is>
          <t>Контейнер 8 м3 (до 5 т)</t>
        </is>
      </c>
      <c r="D18" s="15" t="inlineStr">
        <is>
          <t>шт</t>
        </is>
      </c>
      <c r="E18" s="25" t="n">
        <v>230</v>
      </c>
      <c r="F18" s="25" t="n">
        <v>365</v>
      </c>
      <c r="G18" s="25" t="n">
        <v>420</v>
      </c>
      <c r="H18" s="15" t="inlineStr">
        <is>
          <t>нет</t>
        </is>
      </c>
      <c r="I18" s="15" t="inlineStr"/>
    </row>
    <row r="19">
      <c r="A19" s="15" t="inlineStr">
        <is>
          <t>W01</t>
        </is>
      </c>
      <c r="B19" s="15" t="inlineStr">
        <is>
          <t>стены</t>
        </is>
      </c>
      <c r="C19" s="15" t="inlineStr">
        <is>
          <t>Штукатурка стен гипс по маякам до 20–30 мм</t>
        </is>
      </c>
      <c r="D19" s="15" t="inlineStr">
        <is>
          <t>м2</t>
        </is>
      </c>
      <c r="E19" s="25" t="n">
        <v>14</v>
      </c>
      <c r="F19" s="25" t="n">
        <v>20</v>
      </c>
      <c r="G19" s="25" t="n">
        <v>28</v>
      </c>
      <c r="H19" s="15" t="inlineStr">
        <is>
          <t>нет</t>
        </is>
      </c>
      <c r="I19" s="15" t="inlineStr"/>
    </row>
    <row r="20">
      <c r="A20" s="15" t="inlineStr">
        <is>
          <t>W02</t>
        </is>
      </c>
      <c r="B20" s="15" t="inlineStr">
        <is>
          <t>стены</t>
        </is>
      </c>
      <c r="C20" s="15" t="inlineStr">
        <is>
          <t>Штукатурка цементная по маякам</t>
        </is>
      </c>
      <c r="D20" s="15" t="inlineStr">
        <is>
          <t>м2</t>
        </is>
      </c>
      <c r="E20" s="25" t="n">
        <v>22</v>
      </c>
      <c r="F20" s="25" t="n">
        <v>25</v>
      </c>
      <c r="G20" s="25" t="n">
        <v>30</v>
      </c>
      <c r="H20" s="15" t="inlineStr">
        <is>
          <t>нет</t>
        </is>
      </c>
      <c r="I20" s="15" t="inlineStr"/>
    </row>
    <row r="21">
      <c r="A21" s="15" t="inlineStr">
        <is>
          <t>W03</t>
        </is>
      </c>
      <c r="B21" s="15" t="inlineStr">
        <is>
          <t>стены</t>
        </is>
      </c>
      <c r="C21" s="15" t="inlineStr">
        <is>
          <t>Штукатурка механизированная гипсовая</t>
        </is>
      </c>
      <c r="D21" s="15" t="inlineStr">
        <is>
          <t>м2</t>
        </is>
      </c>
      <c r="E21" s="25" t="n">
        <v>14</v>
      </c>
      <c r="F21" s="25" t="n">
        <v>17</v>
      </c>
      <c r="G21" s="25" t="n">
        <v>20</v>
      </c>
      <c r="H21" s="15" t="inlineStr">
        <is>
          <t>нет</t>
        </is>
      </c>
      <c r="I21" s="15" t="inlineStr"/>
    </row>
    <row r="22">
      <c r="A22" s="15" t="inlineStr">
        <is>
          <t>W04</t>
        </is>
      </c>
      <c r="B22" s="15" t="inlineStr">
        <is>
          <t>стены</t>
        </is>
      </c>
      <c r="C22" s="15" t="inlineStr">
        <is>
          <t>Штукатурка потолка</t>
        </is>
      </c>
      <c r="D22" s="15" t="inlineStr">
        <is>
          <t>м2</t>
        </is>
      </c>
      <c r="E22" s="25" t="n">
        <v>18</v>
      </c>
      <c r="F22" s="25" t="n">
        <v>26</v>
      </c>
      <c r="G22" s="25" t="n">
        <v>45</v>
      </c>
      <c r="H22" s="15" t="inlineStr">
        <is>
          <t>нет</t>
        </is>
      </c>
      <c r="I22" s="15" t="inlineStr"/>
    </row>
    <row r="23">
      <c r="A23" s="15" t="inlineStr">
        <is>
          <t>W05</t>
        </is>
      </c>
      <c r="B23" s="15" t="inlineStr">
        <is>
          <t>стены</t>
        </is>
      </c>
      <c r="C23" s="15" t="inlineStr">
        <is>
          <t>Грунтовка</t>
        </is>
      </c>
      <c r="D23" s="15" t="inlineStr">
        <is>
          <t>м2</t>
        </is>
      </c>
      <c r="E23" s="25" t="n">
        <v>1.3</v>
      </c>
      <c r="F23" s="25" t="n">
        <v>2</v>
      </c>
      <c r="G23" s="25" t="n">
        <v>4</v>
      </c>
      <c r="H23" s="15" t="inlineStr">
        <is>
          <t>нет</t>
        </is>
      </c>
      <c r="I23" s="15" t="inlineStr"/>
    </row>
    <row r="24">
      <c r="A24" s="15" t="inlineStr">
        <is>
          <t>W06</t>
        </is>
      </c>
      <c r="B24" s="15" t="inlineStr">
        <is>
          <t>стены</t>
        </is>
      </c>
      <c r="C24" s="15" t="inlineStr">
        <is>
          <t>Армирование стеклосеткой сплошь</t>
        </is>
      </c>
      <c r="D24" s="15" t="inlineStr">
        <is>
          <t>м2</t>
        </is>
      </c>
      <c r="E24" s="25" t="n">
        <v>3</v>
      </c>
      <c r="F24" s="25" t="n">
        <v>6</v>
      </c>
      <c r="G24" s="25" t="n">
        <v>8</v>
      </c>
      <c r="H24" s="15" t="inlineStr">
        <is>
          <t>нет</t>
        </is>
      </c>
      <c r="I24" s="15" t="inlineStr"/>
    </row>
    <row r="25">
      <c r="A25" s="15" t="inlineStr">
        <is>
          <t>W07</t>
        </is>
      </c>
      <c r="B25" s="15" t="inlineStr">
        <is>
          <t>стены</t>
        </is>
      </c>
      <c r="C25" s="15" t="inlineStr">
        <is>
          <t>Стеклохолст (поклейка)</t>
        </is>
      </c>
      <c r="D25" s="15" t="inlineStr">
        <is>
          <t>м2</t>
        </is>
      </c>
      <c r="E25" s="25" t="n">
        <v>4.5</v>
      </c>
      <c r="F25" s="25" t="n">
        <v>9</v>
      </c>
      <c r="G25" s="25" t="n">
        <v>13.3</v>
      </c>
      <c r="H25" s="15" t="inlineStr">
        <is>
          <t>нет</t>
        </is>
      </c>
      <c r="I25" s="15" t="inlineStr"/>
    </row>
    <row r="26">
      <c r="A26" s="15" t="inlineStr">
        <is>
          <t>W08</t>
        </is>
      </c>
      <c r="B26" s="15" t="inlineStr">
        <is>
          <t>стены</t>
        </is>
      </c>
      <c r="C26" s="15" t="inlineStr">
        <is>
          <t>Шпаклёвка под обои (комплекс)</t>
        </is>
      </c>
      <c r="D26" s="15" t="inlineStr">
        <is>
          <t>м2</t>
        </is>
      </c>
      <c r="E26" s="25" t="n">
        <v>8</v>
      </c>
      <c r="F26" s="25" t="n">
        <v>14</v>
      </c>
      <c r="G26" s="25" t="n">
        <v>42</v>
      </c>
      <c r="H26" s="15" t="inlineStr">
        <is>
          <t>нет</t>
        </is>
      </c>
      <c r="I26" s="15" t="inlineStr"/>
    </row>
    <row r="27">
      <c r="A27" s="15" t="inlineStr">
        <is>
          <t>W09</t>
        </is>
      </c>
      <c r="B27" s="15" t="inlineStr">
        <is>
          <t>стены</t>
        </is>
      </c>
      <c r="C27" s="15" t="inlineStr">
        <is>
          <t>Шпаклёвка под покраску (комплекс, без стеклохолста)</t>
        </is>
      </c>
      <c r="D27" s="15" t="inlineStr">
        <is>
          <t>м2</t>
        </is>
      </c>
      <c r="E27" s="25" t="n">
        <v>16</v>
      </c>
      <c r="F27" s="25" t="n">
        <v>30</v>
      </c>
      <c r="G27" s="25" t="n">
        <v>45</v>
      </c>
      <c r="H27" s="15" t="inlineStr">
        <is>
          <t>нет</t>
        </is>
      </c>
      <c r="I27" s="15" t="inlineStr"/>
    </row>
    <row r="28">
      <c r="A28" s="15" t="inlineStr">
        <is>
          <t>W10</t>
        </is>
      </c>
      <c r="B28" s="15" t="inlineStr">
        <is>
          <t>стены</t>
        </is>
      </c>
      <c r="C28" s="15" t="inlineStr">
        <is>
          <t>Шпаклёвка 1 слой</t>
        </is>
      </c>
      <c r="D28" s="15" t="inlineStr">
        <is>
          <t>м2</t>
        </is>
      </c>
      <c r="E28" s="25" t="n">
        <v>2.65</v>
      </c>
      <c r="F28" s="25" t="n">
        <v>4</v>
      </c>
      <c r="G28" s="25" t="n">
        <v>6.6</v>
      </c>
      <c r="H28" s="15" t="inlineStr">
        <is>
          <t>нет</t>
        </is>
      </c>
      <c r="I28" s="15" t="inlineStr"/>
    </row>
    <row r="29">
      <c r="A29" s="15" t="inlineStr">
        <is>
          <t>W11</t>
        </is>
      </c>
      <c r="B29" s="15" t="inlineStr">
        <is>
          <t>стены</t>
        </is>
      </c>
      <c r="C29" s="15" t="inlineStr">
        <is>
          <t>Шлифовка</t>
        </is>
      </c>
      <c r="D29" s="15" t="inlineStr">
        <is>
          <t>м2</t>
        </is>
      </c>
      <c r="E29" s="25" t="n">
        <v>3</v>
      </c>
      <c r="F29" s="25" t="n">
        <v>6</v>
      </c>
      <c r="G29" s="25" t="n">
        <v>8.800000000000001</v>
      </c>
      <c r="H29" s="15" t="inlineStr">
        <is>
          <t>нет</t>
        </is>
      </c>
      <c r="I29" s="15" t="inlineStr"/>
    </row>
    <row r="30">
      <c r="A30" s="15" t="inlineStr">
        <is>
          <t>W12</t>
        </is>
      </c>
      <c r="B30" s="15" t="inlineStr">
        <is>
          <t>стены</t>
        </is>
      </c>
      <c r="C30" s="15" t="inlineStr">
        <is>
          <t>Перегородка ГКЛ 1 слой с каждой стороны</t>
        </is>
      </c>
      <c r="D30" s="15" t="inlineStr">
        <is>
          <t>м2</t>
        </is>
      </c>
      <c r="E30" s="25" t="n">
        <v>26.5</v>
      </c>
      <c r="F30" s="25" t="n">
        <v>50</v>
      </c>
      <c r="G30" s="25" t="n">
        <v>72</v>
      </c>
      <c r="H30" s="15" t="inlineStr">
        <is>
          <t>нет</t>
        </is>
      </c>
      <c r="I30" s="15" t="inlineStr"/>
    </row>
    <row r="31">
      <c r="A31" s="15" t="inlineStr">
        <is>
          <t>W13</t>
        </is>
      </c>
      <c r="B31" s="15" t="inlineStr">
        <is>
          <t>стены</t>
        </is>
      </c>
      <c r="C31" s="15" t="inlineStr">
        <is>
          <t>Перегородка ГКЛ 2 слоя</t>
        </is>
      </c>
      <c r="D31" s="15" t="inlineStr">
        <is>
          <t>м2</t>
        </is>
      </c>
      <c r="E31" s="25" t="n">
        <v>35</v>
      </c>
      <c r="F31" s="25" t="n">
        <v>55</v>
      </c>
      <c r="G31" s="25" t="n">
        <v>80</v>
      </c>
      <c r="H31" s="15" t="inlineStr">
        <is>
          <t>нет</t>
        </is>
      </c>
      <c r="I31" s="15" t="inlineStr"/>
    </row>
    <row r="32">
      <c r="A32" s="15" t="inlineStr">
        <is>
          <t>W14</t>
        </is>
      </c>
      <c r="B32" s="15" t="inlineStr">
        <is>
          <t>стены</t>
        </is>
      </c>
      <c r="C32" s="15" t="inlineStr">
        <is>
          <t>Звукоизоляция в каркас</t>
        </is>
      </c>
      <c r="D32" s="15" t="inlineStr">
        <is>
          <t>м2</t>
        </is>
      </c>
      <c r="E32" s="25" t="n">
        <v>11</v>
      </c>
      <c r="F32" s="25" t="n">
        <v>12</v>
      </c>
      <c r="G32" s="25" t="n">
        <v>12</v>
      </c>
      <c r="H32" s="15" t="inlineStr">
        <is>
          <t>нет</t>
        </is>
      </c>
      <c r="I32" s="15" t="inlineStr"/>
    </row>
    <row r="33">
      <c r="A33" s="15" t="inlineStr">
        <is>
          <t>W15</t>
        </is>
      </c>
      <c r="B33" s="15" t="inlineStr">
        <is>
          <t>стены</t>
        </is>
      </c>
      <c r="C33" s="15" t="inlineStr">
        <is>
          <t>Перегородка газосиликат до 150 мм</t>
        </is>
      </c>
      <c r="D33" s="15" t="inlineStr">
        <is>
          <t>м2</t>
        </is>
      </c>
      <c r="E33" s="25" t="n">
        <v>31</v>
      </c>
      <c r="F33" s="25" t="n">
        <v>32</v>
      </c>
      <c r="G33" s="25" t="n">
        <v>36</v>
      </c>
      <c r="H33" s="15" t="inlineStr">
        <is>
          <t>нет</t>
        </is>
      </c>
      <c r="I33" s="15" t="inlineStr"/>
    </row>
    <row r="34">
      <c r="A34" s="15" t="inlineStr">
        <is>
          <t>W16</t>
        </is>
      </c>
      <c r="B34" s="15" t="inlineStr">
        <is>
          <t>стены</t>
        </is>
      </c>
      <c r="C34" s="15" t="inlineStr">
        <is>
          <t>Перегородка ПГП 80 мм</t>
        </is>
      </c>
      <c r="D34" s="15" t="inlineStr">
        <is>
          <t>м2</t>
        </is>
      </c>
      <c r="E34" s="25" t="n">
        <v>35</v>
      </c>
      <c r="F34" s="25" t="n">
        <v>37</v>
      </c>
      <c r="G34" s="25" t="n">
        <v>45</v>
      </c>
      <c r="H34" s="15" t="inlineStr">
        <is>
          <t>нет</t>
        </is>
      </c>
      <c r="I34" s="15" t="inlineStr"/>
    </row>
    <row r="35">
      <c r="A35" s="15" t="inlineStr">
        <is>
          <t>W17</t>
        </is>
      </c>
      <c r="B35" s="15" t="inlineStr">
        <is>
          <t>стены</t>
        </is>
      </c>
      <c r="C35" s="15" t="inlineStr">
        <is>
          <t>Перегородка керамзитобетон 100 мм</t>
        </is>
      </c>
      <c r="D35" s="15" t="inlineStr">
        <is>
          <t>м2</t>
        </is>
      </c>
      <c r="E35" s="25" t="n">
        <v>35</v>
      </c>
      <c r="F35" s="25" t="n">
        <v>36</v>
      </c>
      <c r="G35" s="25" t="n">
        <v>40</v>
      </c>
      <c r="H35" s="15" t="inlineStr">
        <is>
          <t>нет</t>
        </is>
      </c>
      <c r="I35" s="15" t="inlineStr"/>
    </row>
    <row r="36">
      <c r="A36" s="15" t="inlineStr">
        <is>
          <t>W18</t>
        </is>
      </c>
      <c r="B36" s="15" t="inlineStr">
        <is>
          <t>стены</t>
        </is>
      </c>
      <c r="C36" s="15" t="inlineStr">
        <is>
          <t>Кирпич 1/2 с армированием</t>
        </is>
      </c>
      <c r="D36" s="15" t="inlineStr">
        <is>
          <t>м2</t>
        </is>
      </c>
      <c r="E36" s="25" t="n">
        <v>60</v>
      </c>
      <c r="F36" s="25" t="n">
        <v>60</v>
      </c>
      <c r="G36" s="25" t="n">
        <v>75</v>
      </c>
      <c r="H36" s="15" t="inlineStr">
        <is>
          <t>нет</t>
        </is>
      </c>
      <c r="I36" s="15" t="inlineStr"/>
    </row>
    <row r="37">
      <c r="A37" s="15" t="inlineStr">
        <is>
          <t>W19</t>
        </is>
      </c>
      <c r="B37" s="15" t="inlineStr">
        <is>
          <t>стены</t>
        </is>
      </c>
      <c r="C37" s="15" t="inlineStr">
        <is>
          <t>Закладка проёма</t>
        </is>
      </c>
      <c r="D37" s="15" t="inlineStr">
        <is>
          <t>м2</t>
        </is>
      </c>
      <c r="E37" s="25" t="n">
        <v>100</v>
      </c>
      <c r="F37" s="25" t="n">
        <v>110</v>
      </c>
      <c r="G37" s="25" t="n">
        <v>150</v>
      </c>
      <c r="H37" s="15" t="inlineStr">
        <is>
          <t>нет</t>
        </is>
      </c>
      <c r="I37" s="15" t="inlineStr"/>
    </row>
    <row r="38">
      <c r="A38" s="15" t="inlineStr">
        <is>
          <t>C01</t>
        </is>
      </c>
      <c r="B38" s="15" t="inlineStr">
        <is>
          <t>потолки</t>
        </is>
      </c>
      <c r="C38" s="15" t="inlineStr">
        <is>
          <t>Потолок ГКЛ одноуровневый 1 слой</t>
        </is>
      </c>
      <c r="D38" s="15" t="inlineStr">
        <is>
          <t>м2</t>
        </is>
      </c>
      <c r="E38" s="25" t="n">
        <v>30</v>
      </c>
      <c r="F38" s="25" t="n">
        <v>45</v>
      </c>
      <c r="G38" s="25" t="n">
        <v>50</v>
      </c>
      <c r="H38" s="15" t="inlineStr">
        <is>
          <t>нет</t>
        </is>
      </c>
      <c r="I38" s="15" t="inlineStr"/>
    </row>
    <row r="39">
      <c r="A39" s="15" t="inlineStr">
        <is>
          <t>C02</t>
        </is>
      </c>
      <c r="B39" s="15" t="inlineStr">
        <is>
          <t>потолки</t>
        </is>
      </c>
      <c r="C39" s="15" t="inlineStr">
        <is>
          <t>Короб/2-й уровень ГКЛ</t>
        </is>
      </c>
      <c r="D39" s="15" t="inlineStr">
        <is>
          <t>м.п.</t>
        </is>
      </c>
      <c r="E39" s="25" t="n">
        <v>35</v>
      </c>
      <c r="F39" s="25" t="n">
        <v>48</v>
      </c>
      <c r="G39" s="25" t="n">
        <v>60</v>
      </c>
      <c r="H39" s="15" t="inlineStr">
        <is>
          <t>нет</t>
        </is>
      </c>
      <c r="I39" s="15" t="inlineStr"/>
    </row>
    <row r="40">
      <c r="A40" s="15" t="inlineStr">
        <is>
          <t>C03</t>
        </is>
      </c>
      <c r="B40" s="15" t="inlineStr">
        <is>
          <t>потолки</t>
        </is>
      </c>
      <c r="C40" s="15" t="inlineStr">
        <is>
          <t>Натяжной ПВХ мат/сатин</t>
        </is>
      </c>
      <c r="D40" s="15" t="inlineStr">
        <is>
          <t>м2</t>
        </is>
      </c>
      <c r="E40" s="25" t="n">
        <v>18</v>
      </c>
      <c r="F40" s="25" t="n">
        <v>28</v>
      </c>
      <c r="G40" s="25" t="n">
        <v>40</v>
      </c>
      <c r="H40" s="15" t="inlineStr">
        <is>
          <t>да</t>
        </is>
      </c>
      <c r="I40" s="15" t="inlineStr"/>
    </row>
    <row r="41">
      <c r="A41" s="15" t="inlineStr">
        <is>
          <t>C04</t>
        </is>
      </c>
      <c r="B41" s="15" t="inlineStr">
        <is>
          <t>потолки</t>
        </is>
      </c>
      <c r="C41" s="15" t="inlineStr">
        <is>
          <t>Натяжной тканевый</t>
        </is>
      </c>
      <c r="D41" s="15" t="inlineStr">
        <is>
          <t>м2</t>
        </is>
      </c>
      <c r="E41" s="25" t="n">
        <v>50</v>
      </c>
      <c r="F41" s="25" t="n">
        <v>60</v>
      </c>
      <c r="G41" s="25" t="n">
        <v>77</v>
      </c>
      <c r="H41" s="15" t="inlineStr">
        <is>
          <t>да</t>
        </is>
      </c>
      <c r="I41" s="15" t="inlineStr"/>
    </row>
    <row r="42">
      <c r="A42" s="15" t="inlineStr">
        <is>
          <t>C05</t>
        </is>
      </c>
      <c r="B42" s="15" t="inlineStr">
        <is>
          <t>потолки</t>
        </is>
      </c>
      <c r="C42" s="15" t="inlineStr">
        <is>
          <t>Теневой профиль</t>
        </is>
      </c>
      <c r="D42" s="15" t="inlineStr">
        <is>
          <t>м.п.</t>
        </is>
      </c>
      <c r="E42" s="25" t="n">
        <v>10</v>
      </c>
      <c r="F42" s="25" t="n">
        <v>21</v>
      </c>
      <c r="G42" s="25" t="n">
        <v>39</v>
      </c>
      <c r="H42" s="15" t="inlineStr">
        <is>
          <t>да</t>
        </is>
      </c>
      <c r="I42" s="15" t="inlineStr"/>
    </row>
    <row r="43">
      <c r="A43" s="15" t="inlineStr">
        <is>
          <t>C06</t>
        </is>
      </c>
      <c r="B43" s="15" t="inlineStr">
        <is>
          <t>потолки</t>
        </is>
      </c>
      <c r="C43" s="15" t="inlineStr">
        <is>
          <t>Световые линии</t>
        </is>
      </c>
      <c r="D43" s="15" t="inlineStr">
        <is>
          <t>м.п.</t>
        </is>
      </c>
      <c r="E43" s="25" t="n">
        <v>78</v>
      </c>
      <c r="F43" s="25" t="n">
        <v>100</v>
      </c>
      <c r="G43" s="25" t="n">
        <v>111</v>
      </c>
      <c r="H43" s="15" t="inlineStr">
        <is>
          <t>да</t>
        </is>
      </c>
      <c r="I43" s="15" t="inlineStr"/>
    </row>
    <row r="44">
      <c r="A44" s="15" t="inlineStr">
        <is>
          <t>C07</t>
        </is>
      </c>
      <c r="B44" s="15" t="inlineStr">
        <is>
          <t>потолки</t>
        </is>
      </c>
      <c r="C44" s="15" t="inlineStr">
        <is>
          <t>Откосы штукатурные</t>
        </is>
      </c>
      <c r="D44" s="15" t="inlineStr">
        <is>
          <t>м.п.</t>
        </is>
      </c>
      <c r="E44" s="25" t="n">
        <v>11</v>
      </c>
      <c r="F44" s="25" t="n">
        <v>18</v>
      </c>
      <c r="G44" s="25" t="n">
        <v>27</v>
      </c>
      <c r="H44" s="15" t="inlineStr">
        <is>
          <t>нет</t>
        </is>
      </c>
      <c r="I44" s="15" t="inlineStr"/>
    </row>
    <row r="45">
      <c r="A45" s="15" t="inlineStr">
        <is>
          <t>C08</t>
        </is>
      </c>
      <c r="B45" s="15" t="inlineStr">
        <is>
          <t>потолки</t>
        </is>
      </c>
      <c r="C45" s="15" t="inlineStr">
        <is>
          <t>Откосы под ключ (штук+шпакл+покраска)</t>
        </is>
      </c>
      <c r="D45" s="15" t="inlineStr">
        <is>
          <t>м.п.</t>
        </is>
      </c>
      <c r="E45" s="25" t="n">
        <v>25</v>
      </c>
      <c r="F45" s="25" t="n">
        <v>45</v>
      </c>
      <c r="G45" s="25" t="n">
        <v>63</v>
      </c>
      <c r="H45" s="15" t="inlineStr">
        <is>
          <t>нет</t>
        </is>
      </c>
      <c r="I45" s="15" t="inlineStr"/>
    </row>
    <row r="46">
      <c r="A46" s="15" t="inlineStr">
        <is>
          <t>F01</t>
        </is>
      </c>
      <c r="B46" s="15" t="inlineStr">
        <is>
          <t>полы</t>
        </is>
      </c>
      <c r="C46" s="15" t="inlineStr">
        <is>
          <t>Стяжка ЦПС по маякам до 50 мм</t>
        </is>
      </c>
      <c r="D46" s="15" t="inlineStr">
        <is>
          <t>м2</t>
        </is>
      </c>
      <c r="E46" s="25" t="n">
        <v>11</v>
      </c>
      <c r="F46" s="25" t="n">
        <v>18</v>
      </c>
      <c r="G46" s="25" t="n">
        <v>40</v>
      </c>
      <c r="H46" s="15" t="inlineStr">
        <is>
          <t>нет</t>
        </is>
      </c>
      <c r="I46" s="15" t="inlineStr"/>
    </row>
    <row r="47">
      <c r="A47" s="15" t="inlineStr">
        <is>
          <t>F02</t>
        </is>
      </c>
      <c r="B47" s="15" t="inlineStr">
        <is>
          <t>полы</t>
        </is>
      </c>
      <c r="C47" s="15" t="inlineStr">
        <is>
          <t>Стяжка ЦПС с материалом (&gt;100 м2)</t>
        </is>
      </c>
      <c r="D47" s="15" t="inlineStr">
        <is>
          <t>м2</t>
        </is>
      </c>
      <c r="E47" s="25" t="n">
        <v>17.5</v>
      </c>
      <c r="F47" s="25" t="n">
        <v>18</v>
      </c>
      <c r="G47" s="25" t="n">
        <v>18.5</v>
      </c>
      <c r="H47" s="15" t="inlineStr">
        <is>
          <t>да</t>
        </is>
      </c>
      <c r="I47" s="15" t="inlineStr"/>
    </row>
    <row r="48">
      <c r="A48" s="15" t="inlineStr">
        <is>
          <t>F03</t>
        </is>
      </c>
      <c r="B48" s="15" t="inlineStr">
        <is>
          <t>полы</t>
        </is>
      </c>
      <c r="C48" s="15" t="inlineStr">
        <is>
          <t>Полусухая стяжка механизированная</t>
        </is>
      </c>
      <c r="D48" s="15" t="inlineStr">
        <is>
          <t>м2</t>
        </is>
      </c>
      <c r="E48" s="25" t="n">
        <v>11</v>
      </c>
      <c r="F48" s="25" t="n">
        <v>17.5</v>
      </c>
      <c r="G48" s="25" t="n">
        <v>50</v>
      </c>
      <c r="H48" s="15" t="inlineStr">
        <is>
          <t>частично</t>
        </is>
      </c>
      <c r="I48" s="15" t="inlineStr">
        <is>
          <t>17,5 — с материалом на большом объёме</t>
        </is>
      </c>
    </row>
    <row r="49">
      <c r="A49" s="15" t="inlineStr">
        <is>
          <t>F04</t>
        </is>
      </c>
      <c r="B49" s="15" t="inlineStr">
        <is>
          <t>полы</t>
        </is>
      </c>
      <c r="C49" s="15" t="inlineStr">
        <is>
          <t>Наливной пол / самонивелир до 15 мм</t>
        </is>
      </c>
      <c r="D49" s="15" t="inlineStr">
        <is>
          <t>м2</t>
        </is>
      </c>
      <c r="E49" s="25" t="n">
        <v>14</v>
      </c>
      <c r="F49" s="25" t="n">
        <v>18</v>
      </c>
      <c r="G49" s="25" t="n">
        <v>29</v>
      </c>
      <c r="H49" s="15" t="inlineStr">
        <is>
          <t>нет</t>
        </is>
      </c>
      <c r="I49" s="15" t="inlineStr"/>
    </row>
    <row r="50">
      <c r="A50" s="15" t="inlineStr">
        <is>
          <t>F05</t>
        </is>
      </c>
      <c r="B50" s="15" t="inlineStr">
        <is>
          <t>полы</t>
        </is>
      </c>
      <c r="C50" s="15" t="inlineStr">
        <is>
          <t>Гидроизоляция обмазочная 2 слоя</t>
        </is>
      </c>
      <c r="D50" s="15" t="inlineStr">
        <is>
          <t>м2</t>
        </is>
      </c>
      <c r="E50" s="25" t="n">
        <v>7.5</v>
      </c>
      <c r="F50" s="25" t="n">
        <v>10</v>
      </c>
      <c r="G50" s="25" t="n">
        <v>13.3</v>
      </c>
      <c r="H50" s="15" t="inlineStr">
        <is>
          <t>нет</t>
        </is>
      </c>
      <c r="I50" s="15" t="inlineStr"/>
    </row>
    <row r="51">
      <c r="A51" s="15" t="inlineStr">
        <is>
          <t>F06</t>
        </is>
      </c>
      <c r="B51" s="15" t="inlineStr">
        <is>
          <t>полы</t>
        </is>
      </c>
      <c r="C51" s="15" t="inlineStr">
        <is>
          <t>Тёплый пол мат</t>
        </is>
      </c>
      <c r="D51" s="15" t="inlineStr">
        <is>
          <t>м2</t>
        </is>
      </c>
      <c r="E51" s="25" t="n">
        <v>15</v>
      </c>
      <c r="F51" s="25" t="n">
        <v>22</v>
      </c>
      <c r="G51" s="25" t="n">
        <v>60</v>
      </c>
      <c r="H51" s="15" t="inlineStr">
        <is>
          <t>нет</t>
        </is>
      </c>
      <c r="I51" s="15" t="inlineStr"/>
    </row>
    <row r="52">
      <c r="A52" s="15" t="inlineStr">
        <is>
          <t>F07</t>
        </is>
      </c>
      <c r="B52" s="15" t="inlineStr">
        <is>
          <t>полы</t>
        </is>
      </c>
      <c r="C52" s="15" t="inlineStr">
        <is>
          <t>Тёплый пол кабель</t>
        </is>
      </c>
      <c r="D52" s="15" t="inlineStr">
        <is>
          <t>м2</t>
        </is>
      </c>
      <c r="E52" s="25" t="n">
        <v>30</v>
      </c>
      <c r="F52" s="25" t="n">
        <v>44</v>
      </c>
      <c r="G52" s="25" t="n">
        <v>60</v>
      </c>
      <c r="H52" s="15" t="inlineStr">
        <is>
          <t>нет</t>
        </is>
      </c>
      <c r="I52" s="15" t="inlineStr">
        <is>
          <t>оценка</t>
        </is>
      </c>
    </row>
    <row r="53">
      <c r="A53" s="15" t="inlineStr">
        <is>
          <t>F08</t>
        </is>
      </c>
      <c r="B53" s="15" t="inlineStr">
        <is>
          <t>полы</t>
        </is>
      </c>
      <c r="C53" s="15" t="inlineStr">
        <is>
          <t>Тёплый пол водяной (трубы без стяжки)</t>
        </is>
      </c>
      <c r="D53" s="15" t="inlineStr">
        <is>
          <t>м2</t>
        </is>
      </c>
      <c r="E53" s="25" t="n">
        <v>13</v>
      </c>
      <c r="F53" s="25" t="n">
        <v>25</v>
      </c>
      <c r="G53" s="25" t="n">
        <v>40</v>
      </c>
      <c r="H53" s="15" t="inlineStr">
        <is>
          <t>нет</t>
        </is>
      </c>
      <c r="I53" s="15" t="inlineStr"/>
    </row>
    <row r="54">
      <c r="A54" s="15" t="inlineStr">
        <is>
          <t>F09</t>
        </is>
      </c>
      <c r="B54" s="15" t="inlineStr">
        <is>
          <t>полы</t>
        </is>
      </c>
      <c r="C54" s="15" t="inlineStr">
        <is>
          <t>Плитка керамическая стандарт</t>
        </is>
      </c>
      <c r="D54" s="15" t="inlineStr">
        <is>
          <t>м2</t>
        </is>
      </c>
      <c r="E54" s="25" t="n">
        <v>25</v>
      </c>
      <c r="F54" s="25" t="n">
        <v>45</v>
      </c>
      <c r="G54" s="25" t="n">
        <v>70</v>
      </c>
      <c r="H54" s="15" t="inlineStr">
        <is>
          <t>нет</t>
        </is>
      </c>
      <c r="I54" s="15" t="inlineStr"/>
    </row>
    <row r="55">
      <c r="A55" s="15" t="inlineStr">
        <is>
          <t>F10</t>
        </is>
      </c>
      <c r="B55" s="15" t="inlineStr">
        <is>
          <t>полы</t>
        </is>
      </c>
      <c r="C55" s="15" t="inlineStr">
        <is>
          <t>Керамогранит средний формат</t>
        </is>
      </c>
      <c r="D55" s="15" t="inlineStr">
        <is>
          <t>м2</t>
        </is>
      </c>
      <c r="E55" s="25" t="n">
        <v>35</v>
      </c>
      <c r="F55" s="25" t="n">
        <v>55</v>
      </c>
      <c r="G55" s="25" t="n">
        <v>95</v>
      </c>
      <c r="H55" s="15" t="inlineStr">
        <is>
          <t>нет</t>
        </is>
      </c>
      <c r="I55" s="15" t="inlineStr"/>
    </row>
    <row r="56">
      <c r="A56" s="15" t="inlineStr">
        <is>
          <t>F11</t>
        </is>
      </c>
      <c r="B56" s="15" t="inlineStr">
        <is>
          <t>полы</t>
        </is>
      </c>
      <c r="C56" s="15" t="inlineStr">
        <is>
          <t>Крупноформат 60×120+</t>
        </is>
      </c>
      <c r="D56" s="15" t="inlineStr">
        <is>
          <t>м2</t>
        </is>
      </c>
      <c r="E56" s="25" t="n">
        <v>45</v>
      </c>
      <c r="F56" s="25" t="n">
        <v>65</v>
      </c>
      <c r="G56" s="25" t="n">
        <v>120</v>
      </c>
      <c r="H56" s="15" t="inlineStr">
        <is>
          <t>нет</t>
        </is>
      </c>
      <c r="I56" s="15" t="inlineStr"/>
    </row>
    <row r="57">
      <c r="A57" s="15" t="inlineStr">
        <is>
          <t>F12</t>
        </is>
      </c>
      <c r="B57" s="15" t="inlineStr">
        <is>
          <t>полы</t>
        </is>
      </c>
      <c r="C57" s="15" t="inlineStr">
        <is>
          <t>Плитка по диагонали</t>
        </is>
      </c>
      <c r="D57" s="15" t="inlineStr">
        <is>
          <t>м2</t>
        </is>
      </c>
      <c r="E57" s="25" t="n">
        <v>35</v>
      </c>
      <c r="F57" s="25" t="n">
        <v>58</v>
      </c>
      <c r="G57" s="25" t="n">
        <v>71</v>
      </c>
      <c r="H57" s="15" t="inlineStr">
        <is>
          <t>нет</t>
        </is>
      </c>
      <c r="I57" s="15" t="inlineStr"/>
    </row>
    <row r="58">
      <c r="A58" s="15" t="inlineStr">
        <is>
          <t>F13</t>
        </is>
      </c>
      <c r="B58" s="15" t="inlineStr">
        <is>
          <t>полы</t>
        </is>
      </c>
      <c r="C58" s="15" t="inlineStr">
        <is>
          <t>Мозаика</t>
        </is>
      </c>
      <c r="D58" s="15" t="inlineStr">
        <is>
          <t>м2</t>
        </is>
      </c>
      <c r="E58" s="25" t="n">
        <v>40</v>
      </c>
      <c r="F58" s="25" t="n">
        <v>80</v>
      </c>
      <c r="G58" s="25" t="n">
        <v>140</v>
      </c>
      <c r="H58" s="15" t="inlineStr">
        <is>
          <t>нет</t>
        </is>
      </c>
      <c r="I58" s="15" t="inlineStr"/>
    </row>
    <row r="59">
      <c r="A59" s="15" t="inlineStr">
        <is>
          <t>F14</t>
        </is>
      </c>
      <c r="B59" s="15" t="inlineStr">
        <is>
          <t>полы</t>
        </is>
      </c>
      <c r="C59" s="15" t="inlineStr">
        <is>
          <t>Ламинат прямо</t>
        </is>
      </c>
      <c r="D59" s="15" t="inlineStr">
        <is>
          <t>м2</t>
        </is>
      </c>
      <c r="E59" s="25" t="n">
        <v>7.5</v>
      </c>
      <c r="F59" s="25" t="n">
        <v>12</v>
      </c>
      <c r="G59" s="25" t="n">
        <v>18</v>
      </c>
      <c r="H59" s="15" t="inlineStr">
        <is>
          <t>нет</t>
        </is>
      </c>
      <c r="I59" s="15" t="inlineStr"/>
    </row>
    <row r="60">
      <c r="A60" s="15" t="inlineStr">
        <is>
          <t>F15</t>
        </is>
      </c>
      <c r="B60" s="15" t="inlineStr">
        <is>
          <t>полы</t>
        </is>
      </c>
      <c r="C60" s="15" t="inlineStr">
        <is>
          <t>Ламинат диагональ</t>
        </is>
      </c>
      <c r="D60" s="15" t="inlineStr">
        <is>
          <t>м2</t>
        </is>
      </c>
      <c r="E60" s="25" t="n">
        <v>10.5</v>
      </c>
      <c r="F60" s="25" t="n">
        <v>15</v>
      </c>
      <c r="G60" s="25" t="n">
        <v>17</v>
      </c>
      <c r="H60" s="15" t="inlineStr">
        <is>
          <t>нет</t>
        </is>
      </c>
      <c r="I60" s="15" t="inlineStr"/>
    </row>
    <row r="61">
      <c r="A61" s="15" t="inlineStr">
        <is>
          <t>F16</t>
        </is>
      </c>
      <c r="B61" s="15" t="inlineStr">
        <is>
          <t>полы</t>
        </is>
      </c>
      <c r="C61" s="15" t="inlineStr">
        <is>
          <t>Кварцвинил/SPC замковый</t>
        </is>
      </c>
      <c r="D61" s="15" t="inlineStr">
        <is>
          <t>м2</t>
        </is>
      </c>
      <c r="E61" s="25" t="n">
        <v>7.5</v>
      </c>
      <c r="F61" s="25" t="n">
        <v>17.5</v>
      </c>
      <c r="G61" s="25" t="n">
        <v>20</v>
      </c>
      <c r="H61" s="15" t="inlineStr">
        <is>
          <t>нет</t>
        </is>
      </c>
      <c r="I61" s="15" t="inlineStr"/>
    </row>
    <row r="62">
      <c r="A62" s="15" t="inlineStr">
        <is>
          <t>F17</t>
        </is>
      </c>
      <c r="B62" s="15" t="inlineStr">
        <is>
          <t>полы</t>
        </is>
      </c>
      <c r="C62" s="15" t="inlineStr">
        <is>
          <t>Кварцвинил клеевой</t>
        </is>
      </c>
      <c r="D62" s="15" t="inlineStr">
        <is>
          <t>м2</t>
        </is>
      </c>
      <c r="E62" s="25" t="n">
        <v>25</v>
      </c>
      <c r="F62" s="25" t="n">
        <v>30</v>
      </c>
      <c r="G62" s="25" t="n">
        <v>39</v>
      </c>
      <c r="H62" s="15" t="inlineStr">
        <is>
          <t>нет</t>
        </is>
      </c>
      <c r="I62" s="15" t="inlineStr"/>
    </row>
    <row r="63">
      <c r="A63" s="15" t="inlineStr">
        <is>
          <t>F18</t>
        </is>
      </c>
      <c r="B63" s="15" t="inlineStr">
        <is>
          <t>полы</t>
        </is>
      </c>
      <c r="C63" s="15" t="inlineStr">
        <is>
          <t>Паркетная доска на клей</t>
        </is>
      </c>
      <c r="D63" s="15" t="inlineStr">
        <is>
          <t>м2</t>
        </is>
      </c>
      <c r="E63" s="25" t="n">
        <v>17</v>
      </c>
      <c r="F63" s="25" t="n">
        <v>40</v>
      </c>
      <c r="G63" s="25" t="n">
        <v>50</v>
      </c>
      <c r="H63" s="15" t="inlineStr">
        <is>
          <t>нет</t>
        </is>
      </c>
      <c r="I63" s="15" t="inlineStr"/>
    </row>
    <row r="64">
      <c r="A64" s="15" t="inlineStr">
        <is>
          <t>F19</t>
        </is>
      </c>
      <c r="B64" s="15" t="inlineStr">
        <is>
          <t>полы</t>
        </is>
      </c>
      <c r="C64" s="15" t="inlineStr">
        <is>
          <t>Плинтус ПВХ</t>
        </is>
      </c>
      <c r="D64" s="15" t="inlineStr">
        <is>
          <t>м.п.</t>
        </is>
      </c>
      <c r="E64" s="25" t="n">
        <v>4.5</v>
      </c>
      <c r="F64" s="25" t="n">
        <v>7</v>
      </c>
      <c r="G64" s="25" t="n">
        <v>8</v>
      </c>
      <c r="H64" s="15" t="inlineStr">
        <is>
          <t>нет</t>
        </is>
      </c>
      <c r="I64" s="15" t="inlineStr"/>
    </row>
    <row r="65">
      <c r="A65" s="15" t="inlineStr">
        <is>
          <t>F20</t>
        </is>
      </c>
      <c r="B65" s="15" t="inlineStr">
        <is>
          <t>полы</t>
        </is>
      </c>
      <c r="C65" s="15" t="inlineStr">
        <is>
          <t>Плинтус МДФ/дюрополимер</t>
        </is>
      </c>
      <c r="D65" s="15" t="inlineStr">
        <is>
          <t>м.п.</t>
        </is>
      </c>
      <c r="E65" s="25" t="n">
        <v>9</v>
      </c>
      <c r="F65" s="25" t="n">
        <v>19</v>
      </c>
      <c r="G65" s="25" t="n">
        <v>22</v>
      </c>
      <c r="H65" s="15" t="inlineStr">
        <is>
          <t>нет</t>
        </is>
      </c>
      <c r="I65" s="15" t="inlineStr"/>
    </row>
    <row r="66">
      <c r="A66" s="15" t="inlineStr">
        <is>
          <t>F21</t>
        </is>
      </c>
      <c r="B66" s="15" t="inlineStr">
        <is>
          <t>полы</t>
        </is>
      </c>
      <c r="C66" s="15" t="inlineStr">
        <is>
          <t>Плинтус алюминиевый скрытый</t>
        </is>
      </c>
      <c r="D66" s="15" t="inlineStr">
        <is>
          <t>м.п.</t>
        </is>
      </c>
      <c r="E66" s="25" t="n">
        <v>25</v>
      </c>
      <c r="F66" s="25" t="n">
        <v>30</v>
      </c>
      <c r="G66" s="25" t="n">
        <v>35</v>
      </c>
      <c r="H66" s="15" t="inlineStr">
        <is>
          <t>нет</t>
        </is>
      </c>
      <c r="I66" s="15" t="inlineStr">
        <is>
          <t>оценка</t>
        </is>
      </c>
    </row>
    <row r="67">
      <c r="A67" s="15" t="inlineStr">
        <is>
          <t>F22</t>
        </is>
      </c>
      <c r="B67" s="15" t="inlineStr">
        <is>
          <t>полы</t>
        </is>
      </c>
      <c r="C67" s="15" t="inlineStr">
        <is>
          <t>Порожек/компенсационный шов</t>
        </is>
      </c>
      <c r="D67" s="15" t="inlineStr">
        <is>
          <t>шт</t>
        </is>
      </c>
      <c r="E67" s="25" t="n">
        <v>15</v>
      </c>
      <c r="F67" s="25" t="n">
        <v>25</v>
      </c>
      <c r="G67" s="25" t="n">
        <v>35</v>
      </c>
      <c r="H67" s="15" t="inlineStr">
        <is>
          <t>нет</t>
        </is>
      </c>
      <c r="I67" s="15" t="inlineStr">
        <is>
          <t>оценка</t>
        </is>
      </c>
    </row>
    <row r="68">
      <c r="A68" s="15" t="inlineStr">
        <is>
          <t>E01</t>
        </is>
      </c>
      <c r="B68" s="15" t="inlineStr">
        <is>
          <t>электрика</t>
        </is>
      </c>
      <c r="C68" s="15" t="inlineStr">
        <is>
          <t>Штроба бетон</t>
        </is>
      </c>
      <c r="D68" s="15" t="inlineStr">
        <is>
          <t>м.п.</t>
        </is>
      </c>
      <c r="E68" s="25" t="n">
        <v>6.5</v>
      </c>
      <c r="F68" s="25" t="n">
        <v>12</v>
      </c>
      <c r="G68" s="25" t="n">
        <v>15</v>
      </c>
      <c r="H68" s="15" t="inlineStr">
        <is>
          <t>нет</t>
        </is>
      </c>
      <c r="I68" s="15" t="inlineStr"/>
    </row>
    <row r="69">
      <c r="A69" s="15" t="inlineStr">
        <is>
          <t>E02</t>
        </is>
      </c>
      <c r="B69" s="15" t="inlineStr">
        <is>
          <t>электрика</t>
        </is>
      </c>
      <c r="C69" s="15" t="inlineStr">
        <is>
          <t>Штроба кирпич</t>
        </is>
      </c>
      <c r="D69" s="15" t="inlineStr">
        <is>
          <t>м.п.</t>
        </is>
      </c>
      <c r="E69" s="25" t="n">
        <v>4</v>
      </c>
      <c r="F69" s="25" t="n">
        <v>8</v>
      </c>
      <c r="G69" s="25" t="n">
        <v>10</v>
      </c>
      <c r="H69" s="15" t="inlineStr">
        <is>
          <t>нет</t>
        </is>
      </c>
      <c r="I69" s="15" t="inlineStr"/>
    </row>
    <row r="70">
      <c r="A70" s="15" t="inlineStr">
        <is>
          <t>E03</t>
        </is>
      </c>
      <c r="B70" s="15" t="inlineStr">
        <is>
          <t>электрика</t>
        </is>
      </c>
      <c r="C70" s="15" t="inlineStr">
        <is>
          <t>Штроба газосиликат</t>
        </is>
      </c>
      <c r="D70" s="15" t="inlineStr">
        <is>
          <t>м.п.</t>
        </is>
      </c>
      <c r="E70" s="25" t="n">
        <v>1.5</v>
      </c>
      <c r="F70" s="25" t="n">
        <v>5</v>
      </c>
      <c r="G70" s="25" t="n">
        <v>6</v>
      </c>
      <c r="H70" s="15" t="inlineStr">
        <is>
          <t>нет</t>
        </is>
      </c>
      <c r="I70" s="15" t="inlineStr"/>
    </row>
    <row r="71">
      <c r="A71" s="15" t="inlineStr">
        <is>
          <t>E04</t>
        </is>
      </c>
      <c r="B71" s="15" t="inlineStr">
        <is>
          <t>электрика</t>
        </is>
      </c>
      <c r="C71" s="15" t="inlineStr">
        <is>
          <t>Прокладка кабеля 1,5–2,5</t>
        </is>
      </c>
      <c r="D71" s="15" t="inlineStr">
        <is>
          <t>м.п.</t>
        </is>
      </c>
      <c r="E71" s="25" t="n">
        <v>2.2</v>
      </c>
      <c r="F71" s="25" t="n">
        <v>3.3</v>
      </c>
      <c r="G71" s="25" t="n">
        <v>8</v>
      </c>
      <c r="H71" s="15" t="inlineStr">
        <is>
          <t>нет</t>
        </is>
      </c>
      <c r="I71" s="15" t="inlineStr"/>
    </row>
    <row r="72">
      <c r="A72" s="15" t="inlineStr">
        <is>
          <t>E05</t>
        </is>
      </c>
      <c r="B72" s="15" t="inlineStr">
        <is>
          <t>электрика</t>
        </is>
      </c>
      <c r="C72" s="15" t="inlineStr">
        <is>
          <t>Подрозетник (гнездо + монтаж, бетон)</t>
        </is>
      </c>
      <c r="D72" s="15" t="inlineStr">
        <is>
          <t>шт</t>
        </is>
      </c>
      <c r="E72" s="25" t="n">
        <v>3.5</v>
      </c>
      <c r="F72" s="25" t="n">
        <v>17</v>
      </c>
      <c r="G72" s="25" t="n">
        <v>19</v>
      </c>
      <c r="H72" s="15" t="inlineStr">
        <is>
          <t>нет</t>
        </is>
      </c>
      <c r="I72" s="15" t="inlineStr"/>
    </row>
    <row r="73">
      <c r="A73" s="15" t="inlineStr">
        <is>
          <t>E06</t>
        </is>
      </c>
      <c r="B73" s="15" t="inlineStr">
        <is>
          <t>электрика</t>
        </is>
      </c>
      <c r="C73" s="15" t="inlineStr">
        <is>
          <t>Розетка/выключатель механизм</t>
        </is>
      </c>
      <c r="D73" s="15" t="inlineStr">
        <is>
          <t>шт</t>
        </is>
      </c>
      <c r="E73" s="25" t="n">
        <v>3.6</v>
      </c>
      <c r="F73" s="25" t="n">
        <v>8</v>
      </c>
      <c r="G73" s="25" t="n">
        <v>15</v>
      </c>
      <c r="H73" s="15" t="inlineStr">
        <is>
          <t>нет</t>
        </is>
      </c>
      <c r="I73" s="15" t="inlineStr"/>
    </row>
    <row r="74">
      <c r="A74" s="15" t="inlineStr">
        <is>
          <t>E07</t>
        </is>
      </c>
      <c r="B74" s="15" t="inlineStr">
        <is>
          <t>электрика</t>
        </is>
      </c>
      <c r="C74" s="15" t="inlineStr">
        <is>
          <t>Точка света</t>
        </is>
      </c>
      <c r="D74" s="15" t="inlineStr">
        <is>
          <t>шт</t>
        </is>
      </c>
      <c r="E74" s="25" t="n">
        <v>15</v>
      </c>
      <c r="F74" s="25" t="n">
        <v>35</v>
      </c>
      <c r="G74" s="25" t="n">
        <v>60</v>
      </c>
      <c r="H74" s="15" t="inlineStr">
        <is>
          <t>нет</t>
        </is>
      </c>
      <c r="I74" s="15" t="inlineStr"/>
    </row>
    <row r="75">
      <c r="A75" s="15" t="inlineStr">
        <is>
          <t>E08</t>
        </is>
      </c>
      <c r="B75" s="15" t="inlineStr">
        <is>
          <t>электрика</t>
        </is>
      </c>
      <c r="C75" s="15" t="inlineStr">
        <is>
          <t>Распредкоробка с коммутацией</t>
        </is>
      </c>
      <c r="D75" s="15" t="inlineStr">
        <is>
          <t>шт</t>
        </is>
      </c>
      <c r="E75" s="25" t="n">
        <v>20</v>
      </c>
      <c r="F75" s="25" t="n">
        <v>35</v>
      </c>
      <c r="G75" s="25" t="n">
        <v>50</v>
      </c>
      <c r="H75" s="15" t="inlineStr">
        <is>
          <t>нет</t>
        </is>
      </c>
      <c r="I75" s="15" t="inlineStr"/>
    </row>
    <row r="76">
      <c r="A76" s="15" t="inlineStr">
        <is>
          <t>E09</t>
        </is>
      </c>
      <c r="B76" s="15" t="inlineStr">
        <is>
          <t>электрика</t>
        </is>
      </c>
      <c r="C76" s="15" t="inlineStr">
        <is>
          <t>Щит: корпус скрытый</t>
        </is>
      </c>
      <c r="D76" s="15" t="inlineStr">
        <is>
          <t>шт</t>
        </is>
      </c>
      <c r="E76" s="25" t="n">
        <v>66</v>
      </c>
      <c r="F76" s="25" t="n">
        <v>150</v>
      </c>
      <c r="G76" s="25" t="n">
        <v>150</v>
      </c>
      <c r="H76" s="15" t="inlineStr">
        <is>
          <t>нет</t>
        </is>
      </c>
      <c r="I76" s="15" t="inlineStr"/>
    </row>
    <row r="77">
      <c r="A77" s="15" t="inlineStr">
        <is>
          <t>E10</t>
        </is>
      </c>
      <c r="B77" s="15" t="inlineStr">
        <is>
          <t>электрика</t>
        </is>
      </c>
      <c r="C77" s="15" t="inlineStr">
        <is>
          <t>Щит: модуль автомат</t>
        </is>
      </c>
      <c r="D77" s="15" t="inlineStr">
        <is>
          <t>шт</t>
        </is>
      </c>
      <c r="E77" s="25" t="n">
        <v>15.5</v>
      </c>
      <c r="F77" s="25" t="n">
        <v>20</v>
      </c>
      <c r="G77" s="25" t="n">
        <v>35</v>
      </c>
      <c r="H77" s="15" t="inlineStr">
        <is>
          <t>нет</t>
        </is>
      </c>
      <c r="I77" s="15" t="inlineStr"/>
    </row>
    <row r="78">
      <c r="A78" s="15" t="inlineStr">
        <is>
          <t>E11</t>
        </is>
      </c>
      <c r="B78" s="15" t="inlineStr">
        <is>
          <t>электрика</t>
        </is>
      </c>
      <c r="C78" s="15" t="inlineStr">
        <is>
          <t>Щит: модуль диф/УЗО</t>
        </is>
      </c>
      <c r="D78" s="15" t="inlineStr">
        <is>
          <t>шт</t>
        </is>
      </c>
      <c r="E78" s="25" t="n">
        <v>20</v>
      </c>
      <c r="F78" s="25" t="n">
        <v>35</v>
      </c>
      <c r="G78" s="25" t="n">
        <v>35</v>
      </c>
      <c r="H78" s="15" t="inlineStr">
        <is>
          <t>нет</t>
        </is>
      </c>
      <c r="I78" s="15" t="inlineStr"/>
    </row>
    <row r="79">
      <c r="A79" s="15" t="inlineStr">
        <is>
          <t>E12</t>
        </is>
      </c>
      <c r="B79" s="15" t="inlineStr">
        <is>
          <t>электрика</t>
        </is>
      </c>
      <c r="C79" s="15" t="inlineStr">
        <is>
          <t>Щит квартирный собранный</t>
        </is>
      </c>
      <c r="D79" s="15" t="inlineStr">
        <is>
          <t>шт</t>
        </is>
      </c>
      <c r="E79" s="25" t="n">
        <v>600</v>
      </c>
      <c r="F79" s="25" t="n">
        <v>900</v>
      </c>
      <c r="G79" s="25" t="n">
        <v>1100</v>
      </c>
      <c r="H79" s="15" t="inlineStr">
        <is>
          <t>нет</t>
        </is>
      </c>
      <c r="I79" s="15" t="inlineStr"/>
    </row>
    <row r="80">
      <c r="A80" s="15" t="inlineStr">
        <is>
          <t>E13</t>
        </is>
      </c>
      <c r="B80" s="15" t="inlineStr">
        <is>
          <t>электрика</t>
        </is>
      </c>
      <c r="C80" s="15" t="inlineStr">
        <is>
          <t>Люстра простая</t>
        </is>
      </c>
      <c r="D80" s="15" t="inlineStr">
        <is>
          <t>шт</t>
        </is>
      </c>
      <c r="E80" s="25" t="n">
        <v>33</v>
      </c>
      <c r="F80" s="25" t="n">
        <v>45</v>
      </c>
      <c r="G80" s="25" t="n">
        <v>90</v>
      </c>
      <c r="H80" s="15" t="inlineStr">
        <is>
          <t>нет</t>
        </is>
      </c>
      <c r="I80" s="15" t="inlineStr"/>
    </row>
    <row r="81">
      <c r="A81" s="15" t="inlineStr">
        <is>
          <t>E14</t>
        </is>
      </c>
      <c r="B81" s="15" t="inlineStr">
        <is>
          <t>электрика</t>
        </is>
      </c>
      <c r="C81" s="15" t="inlineStr">
        <is>
          <t>Трек шинопровод</t>
        </is>
      </c>
      <c r="D81" s="15" t="inlineStr">
        <is>
          <t>м.п.</t>
        </is>
      </c>
      <c r="E81" s="25" t="n">
        <v>40</v>
      </c>
      <c r="F81" s="25" t="n">
        <v>40</v>
      </c>
      <c r="G81" s="25" t="n">
        <v>40</v>
      </c>
      <c r="H81" s="15" t="inlineStr">
        <is>
          <t>нет</t>
        </is>
      </c>
      <c r="I81" s="15" t="inlineStr"/>
    </row>
    <row r="82">
      <c r="A82" s="15" t="inlineStr">
        <is>
          <t>E15</t>
        </is>
      </c>
      <c r="B82" s="15" t="inlineStr">
        <is>
          <t>электрика</t>
        </is>
      </c>
      <c r="C82" s="15" t="inlineStr">
        <is>
          <t>LED-лента</t>
        </is>
      </c>
      <c r="D82" s="15" t="inlineStr">
        <is>
          <t>м.п.</t>
        </is>
      </c>
      <c r="E82" s="25" t="n">
        <v>25</v>
      </c>
      <c r="F82" s="25" t="n">
        <v>27</v>
      </c>
      <c r="G82" s="25" t="n">
        <v>30</v>
      </c>
      <c r="H82" s="15" t="inlineStr">
        <is>
          <t>нет</t>
        </is>
      </c>
      <c r="I82" s="15" t="inlineStr"/>
    </row>
    <row r="83">
      <c r="A83" s="15" t="inlineStr">
        <is>
          <t>E16</t>
        </is>
      </c>
      <c r="B83" s="15" t="inlineStr">
        <is>
          <t>электрика</t>
        </is>
      </c>
      <c r="C83" s="15" t="inlineStr">
        <is>
          <t>Слаботочка кабель</t>
        </is>
      </c>
      <c r="D83" s="15" t="inlineStr">
        <is>
          <t>м.п.</t>
        </is>
      </c>
      <c r="E83" s="25" t="n">
        <v>3</v>
      </c>
      <c r="F83" s="25" t="n">
        <v>4</v>
      </c>
      <c r="G83" s="25" t="n">
        <v>6</v>
      </c>
      <c r="H83" s="15" t="inlineStr">
        <is>
          <t>нет</t>
        </is>
      </c>
      <c r="I83" s="15" t="inlineStr"/>
    </row>
    <row r="84">
      <c r="A84" s="15" t="inlineStr">
        <is>
          <t>E17</t>
        </is>
      </c>
      <c r="B84" s="15" t="inlineStr">
        <is>
          <t>электрика</t>
        </is>
      </c>
      <c r="C84" s="15" t="inlineStr">
        <is>
          <t>Слаботочка розетка</t>
        </is>
      </c>
      <c r="D84" s="15" t="inlineStr">
        <is>
          <t>шт</t>
        </is>
      </c>
      <c r="E84" s="25" t="n">
        <v>10</v>
      </c>
      <c r="F84" s="25" t="n">
        <v>20</v>
      </c>
      <c r="G84" s="25" t="n">
        <v>35</v>
      </c>
      <c r="H84" s="15" t="inlineStr">
        <is>
          <t>нет</t>
        </is>
      </c>
      <c r="I84" s="15" t="inlineStr"/>
    </row>
    <row r="85">
      <c r="A85" s="15" t="inlineStr">
        <is>
          <t>E18</t>
        </is>
      </c>
      <c r="B85" s="15" t="inlineStr">
        <is>
          <t>электрика</t>
        </is>
      </c>
      <c r="C85" s="15" t="inlineStr">
        <is>
          <t>Полная точка (штроба+кабель+подрозетник+механизм)</t>
        </is>
      </c>
      <c r="D85" s="15" t="inlineStr">
        <is>
          <t>точка</t>
        </is>
      </c>
      <c r="E85" s="25" t="n">
        <v>50</v>
      </c>
      <c r="F85" s="25" t="n">
        <v>90</v>
      </c>
      <c r="G85" s="25" t="n">
        <v>150</v>
      </c>
      <c r="H85" s="15" t="inlineStr">
        <is>
          <t>нет</t>
        </is>
      </c>
      <c r="I85" s="15" t="inlineStr">
        <is>
          <t>расчётная оценка</t>
        </is>
      </c>
    </row>
    <row r="86">
      <c r="A86" s="15" t="inlineStr">
        <is>
          <t>E19</t>
        </is>
      </c>
      <c r="B86" s="15" t="inlineStr">
        <is>
          <t>электрика</t>
        </is>
      </c>
      <c r="C86" s="15" t="inlineStr">
        <is>
          <t>Электрика квартиры под ключ 50–70 м2 работа</t>
        </is>
      </c>
      <c r="D86" s="15" t="inlineStr">
        <is>
          <t>квартира</t>
        </is>
      </c>
      <c r="E86" s="25" t="n">
        <v>750</v>
      </c>
      <c r="F86" s="25" t="n">
        <v>1100</v>
      </c>
      <c r="G86" s="25" t="n">
        <v>1600</v>
      </c>
      <c r="H86" s="15" t="inlineStr">
        <is>
          <t>нет</t>
        </is>
      </c>
      <c r="I86" s="15" t="inlineStr"/>
    </row>
    <row r="87">
      <c r="A87" s="15" t="inlineStr">
        <is>
          <t>S01</t>
        </is>
      </c>
      <c r="B87" s="15" t="inlineStr">
        <is>
          <t>сантехника</t>
        </is>
      </c>
      <c r="C87" s="15" t="inlineStr">
        <is>
          <t>Точка водоснабжения</t>
        </is>
      </c>
      <c r="D87" s="15" t="inlineStr">
        <is>
          <t>точка</t>
        </is>
      </c>
      <c r="E87" s="25" t="n">
        <v>30</v>
      </c>
      <c r="F87" s="25" t="n">
        <v>70</v>
      </c>
      <c r="G87" s="25" t="n">
        <v>120</v>
      </c>
      <c r="H87" s="15" t="inlineStr">
        <is>
          <t>нет</t>
        </is>
      </c>
      <c r="I87" s="15" t="inlineStr"/>
    </row>
    <row r="88">
      <c r="A88" s="15" t="inlineStr">
        <is>
          <t>S02</t>
        </is>
      </c>
      <c r="B88" s="15" t="inlineStr">
        <is>
          <t>сантехника</t>
        </is>
      </c>
      <c r="C88" s="15" t="inlineStr">
        <is>
          <t>Точка канализации</t>
        </is>
      </c>
      <c r="D88" s="15" t="inlineStr">
        <is>
          <t>точка</t>
        </is>
      </c>
      <c r="E88" s="25" t="n">
        <v>30</v>
      </c>
      <c r="F88" s="25" t="n">
        <v>45</v>
      </c>
      <c r="G88" s="25" t="n">
        <v>80</v>
      </c>
      <c r="H88" s="15" t="inlineStr">
        <is>
          <t>нет</t>
        </is>
      </c>
      <c r="I88" s="15" t="inlineStr"/>
    </row>
    <row r="89">
      <c r="A89" s="15" t="inlineStr">
        <is>
          <t>S03</t>
        </is>
      </c>
      <c r="B89" s="15" t="inlineStr">
        <is>
          <t>сантехника</t>
        </is>
      </c>
      <c r="C89" s="15" t="inlineStr">
        <is>
          <t>Штроба под трубы</t>
        </is>
      </c>
      <c r="D89" s="15" t="inlineStr">
        <is>
          <t>м.п.</t>
        </is>
      </c>
      <c r="E89" s="25" t="n">
        <v>10</v>
      </c>
      <c r="F89" s="25" t="n">
        <v>20</v>
      </c>
      <c r="G89" s="25" t="n">
        <v>40</v>
      </c>
      <c r="H89" s="15" t="inlineStr">
        <is>
          <t>нет</t>
        </is>
      </c>
      <c r="I89" s="15" t="inlineStr"/>
    </row>
    <row r="90">
      <c r="A90" s="15" t="inlineStr">
        <is>
          <t>S04</t>
        </is>
      </c>
      <c r="B90" s="15" t="inlineStr">
        <is>
          <t>сантехника</t>
        </is>
      </c>
      <c r="C90" s="15" t="inlineStr">
        <is>
          <t>Унитаз напольный</t>
        </is>
      </c>
      <c r="D90" s="15" t="inlineStr">
        <is>
          <t>шт</t>
        </is>
      </c>
      <c r="E90" s="25" t="n">
        <v>31</v>
      </c>
      <c r="F90" s="25" t="n">
        <v>75</v>
      </c>
      <c r="G90" s="25" t="n">
        <v>130</v>
      </c>
      <c r="H90" s="15" t="inlineStr">
        <is>
          <t>нет</t>
        </is>
      </c>
      <c r="I90" s="15" t="inlineStr"/>
    </row>
    <row r="91">
      <c r="A91" s="15" t="inlineStr">
        <is>
          <t>S05</t>
        </is>
      </c>
      <c r="B91" s="15" t="inlineStr">
        <is>
          <t>сантехника</t>
        </is>
      </c>
      <c r="C91" s="15" t="inlineStr">
        <is>
          <t>Инсталляция (рама + подвод)</t>
        </is>
      </c>
      <c r="D91" s="15" t="inlineStr">
        <is>
          <t>шт</t>
        </is>
      </c>
      <c r="E91" s="25" t="n">
        <v>110</v>
      </c>
      <c r="F91" s="25" t="n">
        <v>135</v>
      </c>
      <c r="G91" s="25" t="n">
        <v>150</v>
      </c>
      <c r="H91" s="15" t="inlineStr">
        <is>
          <t>нет</t>
        </is>
      </c>
      <c r="I91" s="15" t="inlineStr"/>
    </row>
    <row r="92">
      <c r="A92" s="15" t="inlineStr">
        <is>
          <t>S06</t>
        </is>
      </c>
      <c r="B92" s="15" t="inlineStr">
        <is>
          <t>сантехника</t>
        </is>
      </c>
      <c r="C92" s="15" t="inlineStr">
        <is>
          <t>Навеска унитаза на инсталляцию</t>
        </is>
      </c>
      <c r="D92" s="15" t="inlineStr">
        <is>
          <t>шт</t>
        </is>
      </c>
      <c r="E92" s="25" t="n">
        <v>100</v>
      </c>
      <c r="F92" s="25" t="n">
        <v>150</v>
      </c>
      <c r="G92" s="25" t="n">
        <v>150</v>
      </c>
      <c r="H92" s="15" t="inlineStr">
        <is>
          <t>нет</t>
        </is>
      </c>
      <c r="I92" s="15" t="inlineStr"/>
    </row>
    <row r="93">
      <c r="A93" s="15" t="inlineStr">
        <is>
          <t>S07</t>
        </is>
      </c>
      <c r="B93" s="15" t="inlineStr">
        <is>
          <t>сантехника</t>
        </is>
      </c>
      <c r="C93" s="15" t="inlineStr">
        <is>
          <t>Ванна</t>
        </is>
      </c>
      <c r="D93" s="15" t="inlineStr">
        <is>
          <t>шт</t>
        </is>
      </c>
      <c r="E93" s="25" t="n">
        <v>90</v>
      </c>
      <c r="F93" s="25" t="n">
        <v>130</v>
      </c>
      <c r="G93" s="25" t="n">
        <v>160</v>
      </c>
      <c r="H93" s="15" t="inlineStr">
        <is>
          <t>нет</t>
        </is>
      </c>
      <c r="I93" s="15" t="inlineStr"/>
    </row>
    <row r="94">
      <c r="A94" s="15" t="inlineStr">
        <is>
          <t>S08</t>
        </is>
      </c>
      <c r="B94" s="15" t="inlineStr">
        <is>
          <t>сантехника</t>
        </is>
      </c>
      <c r="C94" s="15" t="inlineStr">
        <is>
          <t>Душевой поддон</t>
        </is>
      </c>
      <c r="D94" s="15" t="inlineStr">
        <is>
          <t>шт</t>
        </is>
      </c>
      <c r="E94" s="25" t="n">
        <v>60</v>
      </c>
      <c r="F94" s="25" t="n">
        <v>150</v>
      </c>
      <c r="G94" s="25" t="n">
        <v>250</v>
      </c>
      <c r="H94" s="15" t="inlineStr">
        <is>
          <t>нет</t>
        </is>
      </c>
      <c r="I94" s="15" t="inlineStr"/>
    </row>
    <row r="95">
      <c r="A95" s="15" t="inlineStr">
        <is>
          <t>S09</t>
        </is>
      </c>
      <c r="B95" s="15" t="inlineStr">
        <is>
          <t>сантехника</t>
        </is>
      </c>
      <c r="C95" s="15" t="inlineStr">
        <is>
          <t>Трап / лоток</t>
        </is>
      </c>
      <c r="D95" s="15" t="inlineStr">
        <is>
          <t>шт</t>
        </is>
      </c>
      <c r="E95" s="25" t="n">
        <v>120</v>
      </c>
      <c r="F95" s="25" t="n">
        <v>120</v>
      </c>
      <c r="G95" s="25" t="n">
        <v>200</v>
      </c>
      <c r="H95" s="15" t="inlineStr">
        <is>
          <t>нет</t>
        </is>
      </c>
      <c r="I95" s="15" t="inlineStr"/>
    </row>
    <row r="96">
      <c r="A96" s="15" t="inlineStr">
        <is>
          <t>S10</t>
        </is>
      </c>
      <c r="B96" s="15" t="inlineStr">
        <is>
          <t>сантехника</t>
        </is>
      </c>
      <c r="C96" s="15" t="inlineStr">
        <is>
          <t>Смеситель открытый</t>
        </is>
      </c>
      <c r="D96" s="15" t="inlineStr">
        <is>
          <t>шт</t>
        </is>
      </c>
      <c r="E96" s="25" t="n">
        <v>25</v>
      </c>
      <c r="F96" s="25" t="n">
        <v>50</v>
      </c>
      <c r="G96" s="25" t="n">
        <v>130</v>
      </c>
      <c r="H96" s="15" t="inlineStr">
        <is>
          <t>нет</t>
        </is>
      </c>
      <c r="I96" s="15" t="inlineStr"/>
    </row>
    <row r="97">
      <c r="A97" s="15" t="inlineStr">
        <is>
          <t>S11</t>
        </is>
      </c>
      <c r="B97" s="15" t="inlineStr">
        <is>
          <t>сантехника</t>
        </is>
      </c>
      <c r="C97" s="15" t="inlineStr">
        <is>
          <t>Смеситель скрытого монтажа</t>
        </is>
      </c>
      <c r="D97" s="15" t="inlineStr">
        <is>
          <t>шт</t>
        </is>
      </c>
      <c r="E97" s="25" t="n">
        <v>300</v>
      </c>
      <c r="F97" s="25" t="n">
        <v>380</v>
      </c>
      <c r="G97" s="25" t="n">
        <v>380</v>
      </c>
      <c r="H97" s="15" t="inlineStr">
        <is>
          <t>нет</t>
        </is>
      </c>
      <c r="I97" s="15" t="inlineStr"/>
    </row>
    <row r="98">
      <c r="A98" s="15" t="inlineStr">
        <is>
          <t>S12</t>
        </is>
      </c>
      <c r="B98" s="15" t="inlineStr">
        <is>
          <t>сантехника</t>
        </is>
      </c>
      <c r="C98" s="15" t="inlineStr">
        <is>
          <t>Полотенцесушитель навеска</t>
        </is>
      </c>
      <c r="D98" s="15" t="inlineStr">
        <is>
          <t>шт</t>
        </is>
      </c>
      <c r="E98" s="25" t="n">
        <v>120</v>
      </c>
      <c r="F98" s="25" t="n">
        <v>120</v>
      </c>
      <c r="G98" s="25" t="n">
        <v>120</v>
      </c>
      <c r="H98" s="15" t="inlineStr">
        <is>
          <t>нет</t>
        </is>
      </c>
      <c r="I98" s="15" t="inlineStr"/>
    </row>
    <row r="99">
      <c r="A99" s="15" t="inlineStr">
        <is>
          <t>S13</t>
        </is>
      </c>
      <c r="B99" s="15" t="inlineStr">
        <is>
          <t>сантехника</t>
        </is>
      </c>
      <c r="C99" s="15" t="inlineStr">
        <is>
          <t>Полотенцесушитель замена с байпасом</t>
        </is>
      </c>
      <c r="D99" s="15" t="inlineStr">
        <is>
          <t>шт</t>
        </is>
      </c>
      <c r="E99" s="25" t="n">
        <v>190</v>
      </c>
      <c r="F99" s="25" t="n">
        <v>190</v>
      </c>
      <c r="G99" s="25" t="n">
        <v>350</v>
      </c>
      <c r="H99" s="15" t="inlineStr">
        <is>
          <t>нет</t>
        </is>
      </c>
      <c r="I99" s="15" t="inlineStr"/>
    </row>
    <row r="100">
      <c r="A100" s="15" t="inlineStr">
        <is>
          <t>S14</t>
        </is>
      </c>
      <c r="B100" s="15" t="inlineStr">
        <is>
          <t>сантехника</t>
        </is>
      </c>
      <c r="C100" s="15" t="inlineStr">
        <is>
          <t>Радиатор навеска</t>
        </is>
      </c>
      <c r="D100" s="15" t="inlineStr">
        <is>
          <t>шт</t>
        </is>
      </c>
      <c r="E100" s="25" t="n">
        <v>40</v>
      </c>
      <c r="F100" s="25" t="n">
        <v>40</v>
      </c>
      <c r="G100" s="25" t="n">
        <v>40</v>
      </c>
      <c r="H100" s="15" t="inlineStr">
        <is>
          <t>нет</t>
        </is>
      </c>
      <c r="I100" s="15" t="inlineStr"/>
    </row>
    <row r="101">
      <c r="A101" s="15" t="inlineStr">
        <is>
          <t>S15</t>
        </is>
      </c>
      <c r="B101" s="15" t="inlineStr">
        <is>
          <t>сантехника</t>
        </is>
      </c>
      <c r="C101" s="15" t="inlineStr">
        <is>
          <t>Радиатор точка с подводом</t>
        </is>
      </c>
      <c r="D101" s="15" t="inlineStr">
        <is>
          <t>шт</t>
        </is>
      </c>
      <c r="E101" s="25" t="n">
        <v>120</v>
      </c>
      <c r="F101" s="25" t="n">
        <v>150</v>
      </c>
      <c r="G101" s="25" t="n">
        <v>180</v>
      </c>
      <c r="H101" s="15" t="inlineStr">
        <is>
          <t>нет</t>
        </is>
      </c>
      <c r="I101" s="15" t="inlineStr"/>
    </row>
    <row r="102">
      <c r="A102" s="15" t="inlineStr">
        <is>
          <t>S16</t>
        </is>
      </c>
      <c r="B102" s="15" t="inlineStr">
        <is>
          <t>сантехника</t>
        </is>
      </c>
      <c r="C102" s="15" t="inlineStr">
        <is>
          <t>Коллекторный узел</t>
        </is>
      </c>
      <c r="D102" s="15" t="inlineStr">
        <is>
          <t>шт</t>
        </is>
      </c>
      <c r="E102" s="25" t="n">
        <v>75</v>
      </c>
      <c r="F102" s="25" t="n">
        <v>100</v>
      </c>
      <c r="G102" s="25" t="n">
        <v>160</v>
      </c>
      <c r="H102" s="15" t="inlineStr">
        <is>
          <t>нет</t>
        </is>
      </c>
      <c r="I102" s="15" t="inlineStr"/>
    </row>
    <row r="103">
      <c r="A103" s="15" t="inlineStr">
        <is>
          <t>S17</t>
        </is>
      </c>
      <c r="B103" s="15" t="inlineStr">
        <is>
          <t>сантехника</t>
        </is>
      </c>
      <c r="C103" s="15" t="inlineStr">
        <is>
          <t>Фильтр/редуктор</t>
        </is>
      </c>
      <c r="D103" s="15" t="inlineStr">
        <is>
          <t>шт</t>
        </is>
      </c>
      <c r="E103" s="25" t="n">
        <v>35</v>
      </c>
      <c r="F103" s="25" t="n">
        <v>70</v>
      </c>
      <c r="G103" s="25" t="n">
        <v>120</v>
      </c>
      <c r="H103" s="15" t="inlineStr">
        <is>
          <t>нет</t>
        </is>
      </c>
      <c r="I103" s="15" t="inlineStr"/>
    </row>
    <row r="104">
      <c r="A104" s="15" t="inlineStr">
        <is>
          <t>S18</t>
        </is>
      </c>
      <c r="B104" s="15" t="inlineStr">
        <is>
          <t>сантехника</t>
        </is>
      </c>
      <c r="C104" s="15" t="inlineStr">
        <is>
          <t>Счётчик воды</t>
        </is>
      </c>
      <c r="D104" s="15" t="inlineStr">
        <is>
          <t>шт</t>
        </is>
      </c>
      <c r="E104" s="25" t="n">
        <v>70</v>
      </c>
      <c r="F104" s="25" t="n">
        <v>75</v>
      </c>
      <c r="G104" s="25" t="n">
        <v>100</v>
      </c>
      <c r="H104" s="15" t="inlineStr">
        <is>
          <t>нет</t>
        </is>
      </c>
      <c r="I104" s="15" t="inlineStr"/>
    </row>
    <row r="105">
      <c r="A105" s="15" t="inlineStr">
        <is>
          <t>S19</t>
        </is>
      </c>
      <c r="B105" s="15" t="inlineStr">
        <is>
          <t>сантехника</t>
        </is>
      </c>
      <c r="C105" s="15" t="inlineStr">
        <is>
          <t>Короб ГКЛ под трубы</t>
        </is>
      </c>
      <c r="D105" s="15" t="inlineStr">
        <is>
          <t>м.п.</t>
        </is>
      </c>
      <c r="E105" s="25" t="n">
        <v>100</v>
      </c>
      <c r="F105" s="25" t="n">
        <v>160</v>
      </c>
      <c r="G105" s="25" t="n">
        <v>200</v>
      </c>
      <c r="H105" s="15" t="inlineStr">
        <is>
          <t>нет</t>
        </is>
      </c>
      <c r="I105" s="15" t="inlineStr"/>
    </row>
    <row r="106">
      <c r="A106" s="15" t="inlineStr">
        <is>
          <t>T01</t>
        </is>
      </c>
      <c r="B106" s="15" t="inlineStr">
        <is>
          <t>плитка</t>
        </is>
      </c>
      <c r="C106" s="15" t="inlineStr">
        <is>
          <t>Затирка цементная</t>
        </is>
      </c>
      <c r="D106" s="15" t="inlineStr">
        <is>
          <t>м2</t>
        </is>
      </c>
      <c r="E106" s="25" t="n">
        <v>1</v>
      </c>
      <c r="F106" s="25" t="n">
        <v>4</v>
      </c>
      <c r="G106" s="25" t="n">
        <v>8.800000000000001</v>
      </c>
      <c r="H106" s="15" t="inlineStr">
        <is>
          <t>нет</t>
        </is>
      </c>
      <c r="I106" s="15" t="inlineStr"/>
    </row>
    <row r="107">
      <c r="A107" s="15" t="inlineStr">
        <is>
          <t>T02</t>
        </is>
      </c>
      <c r="B107" s="15" t="inlineStr">
        <is>
          <t>плитка</t>
        </is>
      </c>
      <c r="C107" s="15" t="inlineStr">
        <is>
          <t>Затирка эпоксидная</t>
        </is>
      </c>
      <c r="D107" s="15" t="inlineStr">
        <is>
          <t>м2</t>
        </is>
      </c>
      <c r="E107" s="25" t="n">
        <v>10</v>
      </c>
      <c r="F107" s="25" t="n">
        <v>12</v>
      </c>
      <c r="G107" s="25" t="n">
        <v>20</v>
      </c>
      <c r="H107" s="15" t="inlineStr">
        <is>
          <t>нет</t>
        </is>
      </c>
      <c r="I107" s="15" t="inlineStr"/>
    </row>
    <row r="108">
      <c r="A108" s="15" t="inlineStr">
        <is>
          <t>T03</t>
        </is>
      </c>
      <c r="B108" s="15" t="inlineStr">
        <is>
          <t>плитка</t>
        </is>
      </c>
      <c r="C108" s="15" t="inlineStr">
        <is>
          <t>Запил под 45°</t>
        </is>
      </c>
      <c r="D108" s="15" t="inlineStr">
        <is>
          <t>м.п.</t>
        </is>
      </c>
      <c r="E108" s="25" t="n">
        <v>8</v>
      </c>
      <c r="F108" s="25" t="n">
        <v>30</v>
      </c>
      <c r="G108" s="25" t="n">
        <v>50</v>
      </c>
      <c r="H108" s="15" t="inlineStr">
        <is>
          <t>нет</t>
        </is>
      </c>
      <c r="I108" s="15" t="inlineStr"/>
    </row>
    <row r="109">
      <c r="A109" s="15" t="inlineStr">
        <is>
          <t>T04</t>
        </is>
      </c>
      <c r="B109" s="15" t="inlineStr">
        <is>
          <t>плитка</t>
        </is>
      </c>
      <c r="C109" s="15" t="inlineStr">
        <is>
          <t>Отверстие под вывод</t>
        </is>
      </c>
      <c r="D109" s="15" t="inlineStr">
        <is>
          <t>шт</t>
        </is>
      </c>
      <c r="E109" s="25" t="n">
        <v>7</v>
      </c>
      <c r="F109" s="25" t="n">
        <v>15</v>
      </c>
      <c r="G109" s="25" t="n">
        <v>22</v>
      </c>
      <c r="H109" s="15" t="inlineStr">
        <is>
          <t>нет</t>
        </is>
      </c>
      <c r="I109" s="15" t="inlineStr"/>
    </row>
    <row r="110">
      <c r="A110" s="15" t="inlineStr">
        <is>
          <t>T05</t>
        </is>
      </c>
      <c r="B110" s="15" t="inlineStr">
        <is>
          <t>плитка</t>
        </is>
      </c>
      <c r="C110" s="15" t="inlineStr">
        <is>
          <t>Люк-невидимка под плитку</t>
        </is>
      </c>
      <c r="D110" s="15" t="inlineStr">
        <is>
          <t>шт</t>
        </is>
      </c>
      <c r="E110" s="25" t="n">
        <v>110</v>
      </c>
      <c r="F110" s="25" t="n">
        <v>110</v>
      </c>
      <c r="G110" s="25" t="n">
        <v>110</v>
      </c>
      <c r="H110" s="15" t="inlineStr">
        <is>
          <t>нет</t>
        </is>
      </c>
      <c r="I110" s="15" t="inlineStr"/>
    </row>
    <row r="111">
      <c r="A111" s="15" t="inlineStr">
        <is>
          <t>T06</t>
        </is>
      </c>
      <c r="B111" s="15" t="inlineStr">
        <is>
          <t>плитка</t>
        </is>
      </c>
      <c r="C111" s="15" t="inlineStr">
        <is>
          <t>Ниши/узкие участки</t>
        </is>
      </c>
      <c r="D111" s="15" t="inlineStr">
        <is>
          <t>м.п.</t>
        </is>
      </c>
      <c r="E111" s="25" t="n">
        <v>18</v>
      </c>
      <c r="F111" s="25" t="n">
        <v>50</v>
      </c>
      <c r="G111" s="25" t="n">
        <v>55</v>
      </c>
      <c r="H111" s="15" t="inlineStr">
        <is>
          <t>нет</t>
        </is>
      </c>
      <c r="I111" s="15" t="inlineStr"/>
    </row>
    <row r="112">
      <c r="A112" s="15" t="inlineStr">
        <is>
          <t>T07</t>
        </is>
      </c>
      <c r="B112" s="15" t="inlineStr">
        <is>
          <t>плитка</t>
        </is>
      </c>
      <c r="C112" s="15" t="inlineStr">
        <is>
          <t>Экран ванны ГКЛ + плитка</t>
        </is>
      </c>
      <c r="D112" s="15" t="inlineStr">
        <is>
          <t>шт</t>
        </is>
      </c>
      <c r="E112" s="25" t="n">
        <v>120</v>
      </c>
      <c r="F112" s="25" t="n">
        <v>145</v>
      </c>
      <c r="G112" s="25" t="n">
        <v>290</v>
      </c>
      <c r="H112" s="15" t="inlineStr">
        <is>
          <t>нет</t>
        </is>
      </c>
      <c r="I112" s="15" t="inlineStr"/>
    </row>
    <row r="113">
      <c r="A113" s="15" t="inlineStr">
        <is>
          <t>T08</t>
        </is>
      </c>
      <c r="B113" s="15" t="inlineStr">
        <is>
          <t>плитка</t>
        </is>
      </c>
      <c r="C113" s="15" t="inlineStr">
        <is>
          <t>Санузел 3–5 м2 под ключ, работы</t>
        </is>
      </c>
      <c r="D113" s="15" t="inlineStr">
        <is>
          <t>объект</t>
        </is>
      </c>
      <c r="E113" s="25" t="n">
        <v>3000</v>
      </c>
      <c r="F113" s="25" t="n">
        <v>4500</v>
      </c>
      <c r="G113" s="25" t="n">
        <v>8000</v>
      </c>
      <c r="H113" s="15" t="inlineStr">
        <is>
          <t>нет</t>
        </is>
      </c>
      <c r="I113" s="15" t="inlineStr"/>
    </row>
    <row r="114">
      <c r="A114" s="15" t="inlineStr">
        <is>
          <t>X01</t>
        </is>
      </c>
      <c r="B114" s="15" t="inlineStr">
        <is>
          <t>чистовая</t>
        </is>
      </c>
      <c r="C114" s="15" t="inlineStr">
        <is>
          <t>Покраска стен 2 слоя</t>
        </is>
      </c>
      <c r="D114" s="15" t="inlineStr">
        <is>
          <t>м2</t>
        </is>
      </c>
      <c r="E114" s="25" t="n">
        <v>5.2</v>
      </c>
      <c r="F114" s="25" t="n">
        <v>10</v>
      </c>
      <c r="G114" s="25" t="n">
        <v>20</v>
      </c>
      <c r="H114" s="15" t="inlineStr">
        <is>
          <t>нет</t>
        </is>
      </c>
      <c r="I114" s="15" t="inlineStr"/>
    </row>
    <row r="115">
      <c r="A115" s="15" t="inlineStr">
        <is>
          <t>X02</t>
        </is>
      </c>
      <c r="B115" s="15" t="inlineStr">
        <is>
          <t>чистовая</t>
        </is>
      </c>
      <c r="C115" s="15" t="inlineStr">
        <is>
          <t>Покраска потолка 2 слоя</t>
        </is>
      </c>
      <c r="D115" s="15" t="inlineStr">
        <is>
          <t>м2</t>
        </is>
      </c>
      <c r="E115" s="25" t="n">
        <v>6.6</v>
      </c>
      <c r="F115" s="25" t="n">
        <v>10</v>
      </c>
      <c r="G115" s="25" t="n">
        <v>12</v>
      </c>
      <c r="H115" s="15" t="inlineStr">
        <is>
          <t>нет</t>
        </is>
      </c>
      <c r="I115" s="15" t="inlineStr"/>
    </row>
    <row r="116">
      <c r="A116" s="15" t="inlineStr">
        <is>
          <t>X03</t>
        </is>
      </c>
      <c r="B116" s="15" t="inlineStr">
        <is>
          <t>чистовая</t>
        </is>
      </c>
      <c r="C116" s="15" t="inlineStr">
        <is>
          <t>Покраска под ключ (шпакл+стеклохолст+2 слоя)</t>
        </is>
      </c>
      <c r="D116" s="15" t="inlineStr">
        <is>
          <t>м2</t>
        </is>
      </c>
      <c r="E116" s="25" t="n">
        <v>32</v>
      </c>
      <c r="F116" s="25" t="n">
        <v>44</v>
      </c>
      <c r="G116" s="25" t="n">
        <v>65</v>
      </c>
      <c r="H116" s="15" t="inlineStr">
        <is>
          <t>нет</t>
        </is>
      </c>
      <c r="I116" s="15" t="inlineStr"/>
    </row>
    <row r="117">
      <c r="A117" s="15" t="inlineStr">
        <is>
          <t>X04</t>
        </is>
      </c>
      <c r="B117" s="15" t="inlineStr">
        <is>
          <t>чистовая</t>
        </is>
      </c>
      <c r="C117" s="15" t="inlineStr">
        <is>
          <t>Декоративная штукатурка нанесение</t>
        </is>
      </c>
      <c r="D117" s="15" t="inlineStr">
        <is>
          <t>м2</t>
        </is>
      </c>
      <c r="E117" s="25" t="n">
        <v>15</v>
      </c>
      <c r="F117" s="25" t="n">
        <v>35</v>
      </c>
      <c r="G117" s="25" t="n">
        <v>100</v>
      </c>
      <c r="H117" s="15" t="inlineStr">
        <is>
          <t>нет</t>
        </is>
      </c>
      <c r="I117" s="15" t="inlineStr"/>
    </row>
    <row r="118">
      <c r="A118" s="15" t="inlineStr">
        <is>
          <t>X05</t>
        </is>
      </c>
      <c r="B118" s="15" t="inlineStr">
        <is>
          <t>чистовая</t>
        </is>
      </c>
      <c r="C118" s="15" t="inlineStr">
        <is>
          <t>Микроцемент стены работа+материал</t>
        </is>
      </c>
      <c r="D118" s="15" t="inlineStr">
        <is>
          <t>м2</t>
        </is>
      </c>
      <c r="E118" s="25" t="n">
        <v>66.5</v>
      </c>
      <c r="F118" s="25" t="n">
        <v>85</v>
      </c>
      <c r="G118" s="25" t="n">
        <v>193</v>
      </c>
      <c r="H118" s="15" t="inlineStr">
        <is>
          <t>да</t>
        </is>
      </c>
      <c r="I118" s="15" t="inlineStr">
        <is>
          <t>193 — модель UNICORE</t>
        </is>
      </c>
    </row>
    <row r="119">
      <c r="A119" s="15" t="inlineStr">
        <is>
          <t>X06</t>
        </is>
      </c>
      <c r="B119" s="15" t="inlineStr">
        <is>
          <t>чистовая</t>
        </is>
      </c>
      <c r="C119" s="15" t="inlineStr">
        <is>
          <t>Микроцемент полы работа+материал</t>
        </is>
      </c>
      <c r="D119" s="15" t="inlineStr">
        <is>
          <t>м2</t>
        </is>
      </c>
      <c r="E119" s="25" t="n">
        <v>130</v>
      </c>
      <c r="F119" s="25" t="n">
        <v>150</v>
      </c>
      <c r="G119" s="25" t="n">
        <v>224</v>
      </c>
      <c r="H119" s="15" t="inlineStr">
        <is>
          <t>да</t>
        </is>
      </c>
      <c r="I119" s="15" t="inlineStr">
        <is>
          <t>224 — модель UNICORE</t>
        </is>
      </c>
    </row>
    <row r="120">
      <c r="A120" s="15" t="inlineStr">
        <is>
          <t>X07</t>
        </is>
      </c>
      <c r="B120" s="15" t="inlineStr">
        <is>
          <t>чистовая</t>
        </is>
      </c>
      <c r="C120" s="15" t="inlineStr">
        <is>
          <t>Микроцемент только работа</t>
        </is>
      </c>
      <c r="D120" s="15" t="inlineStr">
        <is>
          <t>м2</t>
        </is>
      </c>
      <c r="E120" s="25" t="n">
        <v>60</v>
      </c>
      <c r="F120" s="25" t="n">
        <v>72</v>
      </c>
      <c r="G120" s="25" t="n">
        <v>100</v>
      </c>
      <c r="H120" s="15" t="inlineStr">
        <is>
          <t>нет</t>
        </is>
      </c>
      <c r="I120" s="15" t="inlineStr"/>
    </row>
    <row r="121">
      <c r="A121" s="15" t="inlineStr">
        <is>
          <t>X08</t>
        </is>
      </c>
      <c r="B121" s="15" t="inlineStr">
        <is>
          <t>чистовая</t>
        </is>
      </c>
      <c r="C121" s="15" t="inlineStr">
        <is>
          <t>Обои флизелин/винил</t>
        </is>
      </c>
      <c r="D121" s="15" t="inlineStr">
        <is>
          <t>м2</t>
        </is>
      </c>
      <c r="E121" s="25" t="n">
        <v>7</v>
      </c>
      <c r="F121" s="25" t="n">
        <v>10</v>
      </c>
      <c r="G121" s="25" t="n">
        <v>13</v>
      </c>
      <c r="H121" s="15" t="inlineStr">
        <is>
          <t>нет</t>
        </is>
      </c>
      <c r="I121" s="15" t="inlineStr"/>
    </row>
    <row r="122">
      <c r="A122" s="15" t="inlineStr">
        <is>
          <t>X09</t>
        </is>
      </c>
      <c r="B122" s="15" t="inlineStr">
        <is>
          <t>чистовая</t>
        </is>
      </c>
      <c r="C122" s="15" t="inlineStr">
        <is>
          <t>Обои под покраску</t>
        </is>
      </c>
      <c r="D122" s="15" t="inlineStr">
        <is>
          <t>м2</t>
        </is>
      </c>
      <c r="E122" s="25" t="n">
        <v>7</v>
      </c>
      <c r="F122" s="25" t="n">
        <v>10</v>
      </c>
      <c r="G122" s="25" t="n">
        <v>18</v>
      </c>
      <c r="H122" s="15" t="inlineStr">
        <is>
          <t>нет</t>
        </is>
      </c>
      <c r="I122" s="15" t="inlineStr"/>
    </row>
    <row r="123">
      <c r="A123" s="15" t="inlineStr">
        <is>
          <t>X10</t>
        </is>
      </c>
      <c r="B123" s="15" t="inlineStr">
        <is>
          <t>чистовая</t>
        </is>
      </c>
      <c r="C123" s="15" t="inlineStr">
        <is>
          <t>Дверь межкомнатная установка</t>
        </is>
      </c>
      <c r="D123" s="15" t="inlineStr">
        <is>
          <t>шт</t>
        </is>
      </c>
      <c r="E123" s="25" t="n">
        <v>80</v>
      </c>
      <c r="F123" s="25" t="n">
        <v>118</v>
      </c>
      <c r="G123" s="25" t="n">
        <v>170</v>
      </c>
      <c r="H123" s="15" t="inlineStr">
        <is>
          <t>нет</t>
        </is>
      </c>
      <c r="I123" s="15" t="inlineStr"/>
    </row>
    <row r="124">
      <c r="A124" s="15" t="inlineStr">
        <is>
          <t>X11</t>
        </is>
      </c>
      <c r="B124" s="15" t="inlineStr">
        <is>
          <t>чистовая</t>
        </is>
      </c>
      <c r="C124" s="15" t="inlineStr">
        <is>
          <t>Дверь-невидимка установка короба</t>
        </is>
      </c>
      <c r="D124" s="15" t="inlineStr">
        <is>
          <t>шт</t>
        </is>
      </c>
      <c r="E124" s="25" t="n">
        <v>120</v>
      </c>
      <c r="F124" s="25" t="n">
        <v>150</v>
      </c>
      <c r="G124" s="25" t="n">
        <v>250</v>
      </c>
      <c r="H124" s="15" t="inlineStr">
        <is>
          <t>нет</t>
        </is>
      </c>
      <c r="I124" s="15" t="inlineStr"/>
    </row>
    <row r="125">
      <c r="A125" s="15" t="inlineStr">
        <is>
          <t>X12</t>
        </is>
      </c>
      <c r="B125" s="15" t="inlineStr">
        <is>
          <t>чистовая</t>
        </is>
      </c>
      <c r="C125" s="15" t="inlineStr">
        <is>
          <t>Дверь-невидимка отделка (откосы+покраска полотна)</t>
        </is>
      </c>
      <c r="D125" s="15" t="inlineStr">
        <is>
          <t>шт</t>
        </is>
      </c>
      <c r="E125" s="25" t="n">
        <v>300</v>
      </c>
      <c r="F125" s="25" t="n">
        <v>450</v>
      </c>
      <c r="G125" s="25" t="n">
        <v>600</v>
      </c>
      <c r="H125" s="15" t="inlineStr">
        <is>
          <t>нет</t>
        </is>
      </c>
      <c r="I125" s="15" t="inlineStr"/>
    </row>
    <row r="126">
      <c r="A126" s="15" t="inlineStr">
        <is>
          <t>X13</t>
        </is>
      </c>
      <c r="B126" s="15" t="inlineStr">
        <is>
          <t>чистовая</t>
        </is>
      </c>
      <c r="C126" s="15" t="inlineStr">
        <is>
          <t>Дверь входная установка</t>
        </is>
      </c>
      <c r="D126" s="15" t="inlineStr">
        <is>
          <t>шт</t>
        </is>
      </c>
      <c r="E126" s="25" t="n">
        <v>90</v>
      </c>
      <c r="F126" s="25" t="n">
        <v>110</v>
      </c>
      <c r="G126" s="25" t="n">
        <v>200</v>
      </c>
      <c r="H126" s="15" t="inlineStr">
        <is>
          <t>нет</t>
        </is>
      </c>
      <c r="I126" s="15" t="inlineStr"/>
    </row>
    <row r="127">
      <c r="A127" s="15" t="inlineStr">
        <is>
          <t>X14</t>
        </is>
      </c>
      <c r="B127" s="15" t="inlineStr">
        <is>
          <t>чистовая</t>
        </is>
      </c>
      <c r="C127" s="15" t="inlineStr">
        <is>
          <t>Подоконник ПВХ</t>
        </is>
      </c>
      <c r="D127" s="15" t="inlineStr">
        <is>
          <t>м.п.</t>
        </is>
      </c>
      <c r="E127" s="25" t="n">
        <v>25</v>
      </c>
      <c r="F127" s="25" t="n">
        <v>25</v>
      </c>
      <c r="G127" s="25" t="n">
        <v>25</v>
      </c>
      <c r="H127" s="15" t="inlineStr">
        <is>
          <t>нет</t>
        </is>
      </c>
      <c r="I127" s="15" t="inlineStr"/>
    </row>
    <row r="128">
      <c r="A128" s="15" t="inlineStr">
        <is>
          <t>X15</t>
        </is>
      </c>
      <c r="B128" s="15" t="inlineStr">
        <is>
          <t>чистовая</t>
        </is>
      </c>
      <c r="C128" s="15" t="inlineStr">
        <is>
          <t>Кухня сборка с навеской</t>
        </is>
      </c>
      <c r="D128" s="15" t="inlineStr">
        <is>
          <t>компл</t>
        </is>
      </c>
      <c r="E128" s="25" t="n">
        <v>180</v>
      </c>
      <c r="F128" s="25" t="n">
        <v>300</v>
      </c>
      <c r="G128" s="25" t="n">
        <v>600</v>
      </c>
      <c r="H128" s="15" t="inlineStr">
        <is>
          <t>нет</t>
        </is>
      </c>
      <c r="I128" s="15" t="inlineStr"/>
    </row>
    <row r="129">
      <c r="A129" s="15" t="inlineStr">
        <is>
          <t>O01</t>
        </is>
      </c>
      <c r="B129" s="15" t="inlineStr">
        <is>
          <t>сопутствующее</t>
        </is>
      </c>
      <c r="C129" s="15" t="inlineStr">
        <is>
          <t>Дизайн-проект полный</t>
        </is>
      </c>
      <c r="D129" s="15" t="inlineStr">
        <is>
          <t>м2</t>
        </is>
      </c>
      <c r="E129" s="25" t="n">
        <v>28</v>
      </c>
      <c r="F129" s="25" t="n">
        <v>50</v>
      </c>
      <c r="G129" s="25" t="n">
        <v>120</v>
      </c>
      <c r="H129" s="15" t="inlineStr">
        <is>
          <t>нет</t>
        </is>
      </c>
      <c r="I129" s="15" t="inlineStr"/>
    </row>
    <row r="130">
      <c r="A130" s="15" t="inlineStr">
        <is>
          <t>O02</t>
        </is>
      </c>
      <c r="B130" s="15" t="inlineStr">
        <is>
          <t>сопутствующее</t>
        </is>
      </c>
      <c r="C130" s="15" t="inlineStr">
        <is>
          <t>Технадзор разовый выезд</t>
        </is>
      </c>
      <c r="D130" s="15" t="inlineStr">
        <is>
          <t>шт</t>
        </is>
      </c>
      <c r="E130" s="25" t="n">
        <v>200</v>
      </c>
      <c r="F130" s="25" t="n">
        <v>350</v>
      </c>
      <c r="G130" s="25" t="n">
        <v>450</v>
      </c>
      <c r="H130" s="15" t="inlineStr">
        <is>
          <t>нет</t>
        </is>
      </c>
      <c r="I130" s="15" t="inlineStr"/>
    </row>
    <row r="131">
      <c r="A131" s="15" t="inlineStr">
        <is>
          <t>O03</t>
        </is>
      </c>
      <c r="B131" s="15" t="inlineStr">
        <is>
          <t>сопутствующее</t>
        </is>
      </c>
      <c r="C131" s="15" t="inlineStr">
        <is>
          <t>Технадзор сопровождение</t>
        </is>
      </c>
      <c r="D131" s="15" t="inlineStr">
        <is>
          <t>объект</t>
        </is>
      </c>
      <c r="E131" s="25" t="n">
        <v>1500</v>
      </c>
      <c r="F131" s="25" t="n">
        <v>2000</v>
      </c>
      <c r="G131" s="25" t="n">
        <v>3000</v>
      </c>
      <c r="H131" s="15" t="inlineStr">
        <is>
          <t>нет</t>
        </is>
      </c>
      <c r="I131" s="15" t="inlineStr"/>
    </row>
    <row r="132">
      <c r="A132" s="15" t="inlineStr">
        <is>
          <t>O04</t>
        </is>
      </c>
      <c r="B132" s="15" t="inlineStr">
        <is>
          <t>сопутствующее</t>
        </is>
      </c>
      <c r="C132" s="15" t="inlineStr">
        <is>
          <t>Уборка после ремонта</t>
        </is>
      </c>
      <c r="D132" s="15" t="inlineStr">
        <is>
          <t>м2</t>
        </is>
      </c>
      <c r="E132" s="25" t="n">
        <v>2.5</v>
      </c>
      <c r="F132" s="25" t="n">
        <v>4.5</v>
      </c>
      <c r="G132" s="25" t="n">
        <v>8</v>
      </c>
      <c r="H132" s="15" t="inlineStr">
        <is>
          <t>нет</t>
        </is>
      </c>
      <c r="I132" s="15" t="inlineStr"/>
    </row>
    <row r="133">
      <c r="A133" s="15" t="inlineStr">
        <is>
          <t>O05</t>
        </is>
      </c>
      <c r="B133" s="15" t="inlineStr">
        <is>
          <t>сопутствующее</t>
        </is>
      </c>
      <c r="C133" s="15" t="inlineStr">
        <is>
          <t>Подъём материалов без лифта</t>
        </is>
      </c>
      <c r="D133" s="15" t="inlineStr">
        <is>
          <t>место·этаж</t>
        </is>
      </c>
      <c r="E133" s="25" t="n">
        <v>1</v>
      </c>
      <c r="F133" s="25" t="n">
        <v>1.3</v>
      </c>
      <c r="G133" s="25" t="n">
        <v>1.7</v>
      </c>
      <c r="H133" s="15" t="inlineStr">
        <is>
          <t>нет</t>
        </is>
      </c>
      <c r="I133" s="15" t="inlineStr"/>
    </row>
    <row r="134">
      <c r="A134" s="15" t="inlineStr">
        <is>
          <t>K01</t>
        </is>
      </c>
      <c r="B134" s="15" t="inlineStr">
        <is>
          <t>комплекс</t>
        </is>
      </c>
      <c r="C134" s="15" t="inlineStr">
        <is>
          <t>Косметический работа</t>
        </is>
      </c>
      <c r="D134" s="15" t="inlineStr">
        <is>
          <t>м2 общ</t>
        </is>
      </c>
      <c r="E134" s="25" t="n">
        <v>69</v>
      </c>
      <c r="F134" s="25" t="n">
        <v>200</v>
      </c>
      <c r="G134" s="25" t="n">
        <v>303</v>
      </c>
      <c r="H134" s="15" t="inlineStr">
        <is>
          <t>нет</t>
        </is>
      </c>
      <c r="I134" s="15" t="inlineStr"/>
    </row>
    <row r="135">
      <c r="A135" s="15" t="inlineStr">
        <is>
          <t>K02</t>
        </is>
      </c>
      <c r="B135" s="15" t="inlineStr">
        <is>
          <t>комплекс</t>
        </is>
      </c>
      <c r="C135" s="15" t="inlineStr">
        <is>
          <t>Капитальный вторичка работа</t>
        </is>
      </c>
      <c r="D135" s="15" t="inlineStr">
        <is>
          <t>м2 общ</t>
        </is>
      </c>
      <c r="E135" s="25" t="n">
        <v>99</v>
      </c>
      <c r="F135" s="25" t="n">
        <v>350</v>
      </c>
      <c r="G135" s="25" t="n">
        <v>600</v>
      </c>
      <c r="H135" s="15" t="inlineStr">
        <is>
          <t>нет</t>
        </is>
      </c>
      <c r="I135" s="15" t="inlineStr"/>
    </row>
    <row r="136">
      <c r="A136" s="15" t="inlineStr">
        <is>
          <t>K03</t>
        </is>
      </c>
      <c r="B136" s="15" t="inlineStr">
        <is>
          <t>комплекс</t>
        </is>
      </c>
      <c r="C136" s="15" t="inlineStr">
        <is>
          <t>Евроремонт работа</t>
        </is>
      </c>
      <c r="D136" s="15" t="inlineStr">
        <is>
          <t>м2 общ</t>
        </is>
      </c>
      <c r="E136" s="25" t="n">
        <v>321</v>
      </c>
      <c r="F136" s="25" t="n">
        <v>400</v>
      </c>
      <c r="G136" s="25" t="n">
        <v>600</v>
      </c>
      <c r="H136" s="15" t="inlineStr">
        <is>
          <t>нет</t>
        </is>
      </c>
      <c r="I136" s="15" t="inlineStr"/>
    </row>
    <row r="137">
      <c r="A137" s="15" t="inlineStr">
        <is>
          <t>K04</t>
        </is>
      </c>
      <c r="B137" s="15" t="inlineStr">
        <is>
          <t>комплекс</t>
        </is>
      </c>
      <c r="C137" s="15" t="inlineStr">
        <is>
          <t>Дизайнерский работа</t>
        </is>
      </c>
      <c r="D137" s="15" t="inlineStr">
        <is>
          <t>м2 общ</t>
        </is>
      </c>
      <c r="E137" s="25" t="n">
        <v>199</v>
      </c>
      <c r="F137" s="25" t="n">
        <v>850</v>
      </c>
      <c r="G137" s="25" t="n">
        <v>1500</v>
      </c>
      <c r="H137" s="15" t="inlineStr">
        <is>
          <t>нет</t>
        </is>
      </c>
      <c r="I137" s="15" t="inlineStr"/>
    </row>
    <row r="138">
      <c r="A138" s="15" t="inlineStr">
        <is>
          <t>K05</t>
        </is>
      </c>
      <c r="B138" s="15" t="inlineStr">
        <is>
          <t>комплекс</t>
        </is>
      </c>
      <c r="C138" s="15" t="inlineStr">
        <is>
          <t>Новостройка с нуля работа</t>
        </is>
      </c>
      <c r="D138" s="15" t="inlineStr">
        <is>
          <t>м2 общ</t>
        </is>
      </c>
      <c r="E138" s="25" t="n">
        <v>200</v>
      </c>
      <c r="F138" s="25" t="n">
        <v>470</v>
      </c>
      <c r="G138" s="25" t="n">
        <v>600</v>
      </c>
      <c r="H138" s="15" t="inlineStr">
        <is>
          <t>нет</t>
        </is>
      </c>
      <c r="I138" s="15" t="inlineStr"/>
    </row>
    <row r="139">
      <c r="A139" s="15" t="inlineStr">
        <is>
          <t>K06</t>
        </is>
      </c>
      <c r="B139" s="15" t="inlineStr">
        <is>
          <t>комплекс</t>
        </is>
      </c>
      <c r="C139" s="15" t="inlineStr">
        <is>
          <t>Новостройка с материалами</t>
        </is>
      </c>
      <c r="D139" s="15" t="inlineStr">
        <is>
          <t>м2 общ</t>
        </is>
      </c>
      <c r="E139" s="25" t="n">
        <v>606</v>
      </c>
      <c r="F139" s="25" t="n">
        <v>760</v>
      </c>
      <c r="G139" s="25" t="n">
        <v>1061</v>
      </c>
      <c r="H139" s="15" t="inlineStr">
        <is>
          <t>да</t>
        </is>
      </c>
      <c r="I139" s="15" t="inlineStr"/>
    </row>
    <row r="141">
      <c r="A141" s="2" t="inlineStr">
        <is>
          <t>Источник: документы/памятки/смета-источники/01-цены-работы.md, прайсы минских компаний, срез 27.09.2026. Столбец «Типично» — медиана; синие числа можно править.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8" customWidth="1" min="3" max="3"/>
    <col width="70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21" t="inlineStr">
        <is>
          <t>Код узла</t>
        </is>
      </c>
      <c r="B1" s="21" t="inlineStr">
        <is>
          <t>Узел</t>
        </is>
      </c>
      <c r="C1" s="21" t="inlineStr">
        <is>
          <t>Ед.</t>
        </is>
      </c>
      <c r="D1" s="21" t="inlineStr">
        <is>
          <t>Состав и расход на единицу</t>
        </is>
      </c>
      <c r="E1" s="21" t="inlineStr">
        <is>
          <t>Материал, BYN/ед.</t>
        </is>
      </c>
      <c r="F1" s="21" t="inlineStr">
        <is>
          <t>Код ставки работы</t>
        </is>
      </c>
      <c r="G1" s="21" t="inlineStr">
        <is>
          <t>Работа, BYN/ед.</t>
        </is>
      </c>
      <c r="H1" s="21" t="inlineStr">
        <is>
          <t>Источник цен</t>
        </is>
      </c>
    </row>
    <row r="2">
      <c r="A2" s="15" t="inlineStr">
        <is>
          <t>N01</t>
        </is>
      </c>
      <c r="B2" s="15" t="inlineStr">
        <is>
          <t>Демонтаж обоев</t>
        </is>
      </c>
      <c r="C2" s="15" t="inlineStr">
        <is>
          <t>м²</t>
        </is>
      </c>
      <c r="D2" s="23" t="inlineStr">
        <is>
          <t>вода, размывка; без материала</t>
        </is>
      </c>
      <c r="E2" s="22" t="n">
        <v>0</v>
      </c>
      <c r="F2" s="15" t="inlineStr">
        <is>
          <t>D09</t>
        </is>
      </c>
      <c r="G2" s="26">
        <f>INDEX(Ставки!$F$2:$F$139,MATCH(F2,Ставки!$A$2:$A$139,0))</f>
        <v>3.0</v>
      </c>
      <c r="H2" s="2" t="inlineStr">
        <is>
          <t>розница Минск 27.09.2026, 02-цены-материалы.md</t>
        </is>
      </c>
    </row>
    <row r="3">
      <c r="A3" s="15" t="inlineStr">
        <is>
          <t>N02</t>
        </is>
      </c>
      <c r="B3" s="15" t="inlineStr">
        <is>
          <t>Демонтаж плинтуса</t>
        </is>
      </c>
      <c r="C3" s="15" t="inlineStr">
        <is>
          <t>м.п.</t>
        </is>
      </c>
      <c r="D3" s="23" t="inlineStr">
        <is>
          <t>без материала</t>
        </is>
      </c>
      <c r="E3" s="22" t="n">
        <v>0</v>
      </c>
      <c r="F3" s="2" t="inlineStr">
        <is>
          <t>ввод</t>
        </is>
      </c>
      <c r="G3" s="22" t="n">
        <v>3</v>
      </c>
      <c r="H3" s="2" t="inlineStr">
        <is>
          <t>розница Минск 27.09.2026, 02-цены-материалы.md</t>
        </is>
      </c>
    </row>
    <row r="4">
      <c r="A4" s="15" t="inlineStr">
        <is>
          <t>N03</t>
        </is>
      </c>
      <c r="B4" s="15" t="inlineStr">
        <is>
          <t>Вынос мусора, мешок</t>
        </is>
      </c>
      <c r="C4" s="15" t="inlineStr">
        <is>
          <t>мешок</t>
        </is>
      </c>
      <c r="D4" s="23" t="inlineStr">
        <is>
          <t>мешок 0,6–0,8 руб.</t>
        </is>
      </c>
      <c r="E4" s="22" t="n">
        <v>0.7</v>
      </c>
      <c r="F4" s="15" t="inlineStr">
        <is>
          <t>D15</t>
        </is>
      </c>
      <c r="G4" s="26">
        <f>INDEX(Ставки!$F$2:$F$139,MATCH(F4,Ставки!$A$2:$A$139,0))</f>
        <v>2.0</v>
      </c>
      <c r="H4" s="2" t="inlineStr">
        <is>
          <t>розница Минск 27.09.2026, 02-цены-материалы.md</t>
        </is>
      </c>
    </row>
    <row r="5">
      <c r="A5" s="15" t="inlineStr">
        <is>
          <t>N04</t>
        </is>
      </c>
      <c r="B5" s="15" t="inlineStr">
        <is>
          <t>Вывоз мусора, Газель</t>
        </is>
      </c>
      <c r="C5" s="15" t="inlineStr">
        <is>
          <t>рейс</t>
        </is>
      </c>
      <c r="D5" s="23" t="inlineStr">
        <is>
          <t>услуга с грузчиками</t>
        </is>
      </c>
      <c r="E5" s="22" t="n">
        <v>0</v>
      </c>
      <c r="F5" s="15" t="inlineStr">
        <is>
          <t>D16</t>
        </is>
      </c>
      <c r="G5" s="26">
        <f>INDEX(Ставки!$F$2:$F$139,MATCH(F5,Ставки!$A$2:$A$139,0))</f>
        <v>180.0</v>
      </c>
      <c r="H5" s="2" t="inlineStr">
        <is>
          <t>розница Минск 27.09.2026, 02-цены-материалы.md</t>
        </is>
      </c>
    </row>
    <row r="6">
      <c r="A6" s="15" t="inlineStr">
        <is>
          <t>N05</t>
        </is>
      </c>
      <c r="B6" s="15" t="inlineStr">
        <is>
          <t>Перегородка газосиликат 100 мм</t>
        </is>
      </c>
      <c r="C6" s="15" t="inlineStr">
        <is>
          <t>м²</t>
        </is>
      </c>
      <c r="D6" s="23" t="inlineStr">
        <is>
          <t>6,4 блока (0,1 м³ × 174 поддоном) + клей 3 кг × 0,42 + анкеры, сетка</t>
        </is>
      </c>
      <c r="E6" s="22" t="n">
        <v>22</v>
      </c>
      <c r="F6" s="15" t="inlineStr">
        <is>
          <t>W15</t>
        </is>
      </c>
      <c r="G6" s="26">
        <f>INDEX(Ставки!$F$2:$F$139,MATCH(F6,Ставки!$A$2:$A$139,0))</f>
        <v>32.0</v>
      </c>
      <c r="H6" s="2" t="inlineStr">
        <is>
          <t>розница Минск 27.09.2026, 02-цены-материалы.md</t>
        </is>
      </c>
    </row>
    <row r="7">
      <c r="A7" s="15" t="inlineStr">
        <is>
          <t>N06</t>
        </is>
      </c>
      <c r="B7" s="15" t="inlineStr">
        <is>
          <t>Перегородка ПГП 80 мм</t>
        </is>
      </c>
      <c r="C7" s="15" t="inlineStr">
        <is>
          <t>м²</t>
        </is>
      </c>
      <c r="D7" s="23" t="inlineStr">
        <is>
          <t>3 плиты × 15,35 + клей 1,5 кг + прокладка, анкеры</t>
        </is>
      </c>
      <c r="E7" s="22" t="n">
        <v>49</v>
      </c>
      <c r="F7" s="15" t="inlineStr">
        <is>
          <t>W16</t>
        </is>
      </c>
      <c r="G7" s="26">
        <f>INDEX(Ставки!$F$2:$F$139,MATCH(F7,Ставки!$A$2:$A$139,0))</f>
        <v>37.0</v>
      </c>
      <c r="H7" s="2" t="inlineStr">
        <is>
          <t>розница Минск 27.09.2026, 02-цены-материалы.md</t>
        </is>
      </c>
    </row>
    <row r="8">
      <c r="A8" s="15" t="inlineStr">
        <is>
          <t>N07</t>
        </is>
      </c>
      <c r="B8" s="15" t="inlineStr">
        <is>
          <t>Штукатурка гипсовая 15 мм по маякам (новые перегородки)</t>
        </is>
      </c>
      <c r="C8" s="15" t="inlineStr">
        <is>
          <t>м²</t>
        </is>
      </c>
      <c r="D8" s="23" t="inlineStr">
        <is>
          <t>Rotband/ilmax 12,8 кг × 0,63 + грунт 0,12 кг + маяки 0,9 м + сетка на стыках 0,2 м²</t>
        </is>
      </c>
      <c r="E8" s="22" t="n">
        <v>9.5</v>
      </c>
      <c r="F8" s="15" t="inlineStr">
        <is>
          <t>W01</t>
        </is>
      </c>
      <c r="G8" s="26">
        <f>INDEX(Ставки!$F$2:$F$139,MATCH(F8,Ставки!$A$2:$A$139,0))</f>
        <v>20.0</v>
      </c>
      <c r="H8" s="2" t="inlineStr">
        <is>
          <t>розница Минск 27.09.2026, 02-цены-материалы.md</t>
        </is>
      </c>
    </row>
    <row r="9">
      <c r="A9" s="15" t="inlineStr">
        <is>
          <t>N08</t>
        </is>
      </c>
      <c r="B9" s="15" t="inlineStr">
        <is>
          <t>Откосы штукатурные</t>
        </is>
      </c>
      <c r="C9" s="15" t="inlineStr">
        <is>
          <t>м.п.</t>
        </is>
      </c>
      <c r="D9" s="23" t="inlineStr">
        <is>
          <t>смесь ≈ 4 кг + уголок 1 м</t>
        </is>
      </c>
      <c r="E9" s="22" t="n">
        <v>4.5</v>
      </c>
      <c r="F9" s="15" t="inlineStr">
        <is>
          <t>C07</t>
        </is>
      </c>
      <c r="G9" s="26">
        <f>INDEX(Ставки!$F$2:$F$139,MATCH(F9,Ставки!$A$2:$A$139,0))</f>
        <v>18.0</v>
      </c>
      <c r="H9" s="2" t="inlineStr">
        <is>
          <t>розница Минск 27.09.2026, 02-цены-материалы.md</t>
        </is>
      </c>
    </row>
    <row r="10">
      <c r="A10" s="15" t="inlineStr">
        <is>
          <t>N09</t>
        </is>
      </c>
      <c r="B10" s="15" t="inlineStr">
        <is>
          <t>Шпаклёвка стен под покраску Q3 (по существующей штукатурке/бетону)</t>
        </is>
      </c>
      <c r="C10" s="15" t="inlineStr">
        <is>
          <t>м²</t>
        </is>
      </c>
      <c r="D10" s="23" t="inlineStr">
        <is>
          <t>старт 2,2 кг × 1,0 + финиш 1,1 кг × 1,5 + грунт 0,4 кг × 4 + сетка стыков 0,3 м² + шкурка 0,12 м²</t>
        </is>
      </c>
      <c r="E10" s="22" t="n">
        <v>8.300000000000001</v>
      </c>
      <c r="F10" s="15" t="inlineStr">
        <is>
          <t>W09</t>
        </is>
      </c>
      <c r="G10" s="26">
        <f>INDEX(Ставки!$F$2:$F$139,MATCH(F10,Ставки!$A$2:$A$139,0))</f>
        <v>30.0</v>
      </c>
      <c r="H10" s="2" t="inlineStr">
        <is>
          <t>розница Минск 27.09.2026, 02-цены-материалы.md</t>
        </is>
      </c>
    </row>
    <row r="11">
      <c r="A11" s="15" t="inlineStr">
        <is>
          <t>N10</t>
        </is>
      </c>
      <c r="B11" s="15" t="inlineStr">
        <is>
          <t>Стеклохолст 40 г/м² на клей</t>
        </is>
      </c>
      <c r="C11" s="15" t="inlineStr">
        <is>
          <t>м²</t>
        </is>
      </c>
      <c r="D11" s="23" t="inlineStr">
        <is>
          <t>холст 1,1 м² × 1,5 + клей 0,25 кг × 6</t>
        </is>
      </c>
      <c r="E11" s="22" t="n">
        <v>3.2</v>
      </c>
      <c r="F11" s="15" t="inlineStr">
        <is>
          <t>W07</t>
        </is>
      </c>
      <c r="G11" s="26">
        <f>INDEX(Ставки!$F$2:$F$139,MATCH(F11,Ставки!$A$2:$A$139,0))</f>
        <v>9.0</v>
      </c>
      <c r="H11" s="2" t="inlineStr">
        <is>
          <t>розница Минск 27.09.2026, 02-цены-материалы.md</t>
        </is>
      </c>
    </row>
    <row r="12">
      <c r="A12" s="15" t="inlineStr">
        <is>
          <t>N11</t>
        </is>
      </c>
      <c r="B12" s="15" t="inlineStr">
        <is>
          <t>Шпаклёвка потолка под покраску Q3</t>
        </is>
      </c>
      <c r="C12" s="15" t="inlineStr">
        <is>
          <t>м²</t>
        </is>
      </c>
      <c r="D12" s="23" t="inlineStr">
        <is>
          <t>как N09, труд ×1,17</t>
        </is>
      </c>
      <c r="E12" s="22" t="n">
        <v>8.300000000000001</v>
      </c>
      <c r="F12" s="2" t="inlineStr">
        <is>
          <t>ввод</t>
        </is>
      </c>
      <c r="G12" s="22" t="n">
        <v>37</v>
      </c>
      <c r="H12" s="2" t="inlineStr">
        <is>
          <t>розница Минск 27.09.2026, 02-цены-материалы.md</t>
        </is>
      </c>
    </row>
    <row r="13">
      <c r="A13" s="15" t="inlineStr">
        <is>
          <t>N12</t>
        </is>
      </c>
      <c r="B13" s="15" t="inlineStr">
        <is>
          <t>Окраска стен 2 слоя + грунт</t>
        </is>
      </c>
      <c r="C13" s="15" t="inlineStr">
        <is>
          <t>м²</t>
        </is>
      </c>
      <c r="D13" s="23" t="inlineStr">
        <is>
          <t>краска 0,3 л × 15 (Alpina/Condor) + грунт 0,1 л × 4 + скотч, плёнка</t>
        </is>
      </c>
      <c r="E13" s="22" t="n">
        <v>5.4</v>
      </c>
      <c r="F13" s="15" t="inlineStr">
        <is>
          <t>X01</t>
        </is>
      </c>
      <c r="G13" s="26">
        <f>INDEX(Ставки!$F$2:$F$139,MATCH(F13,Ставки!$A$2:$A$139,0))</f>
        <v>10.0</v>
      </c>
      <c r="H13" s="2" t="inlineStr">
        <is>
          <t>розница Минск 27.09.2026, 02-цены-материалы.md</t>
        </is>
      </c>
    </row>
    <row r="14">
      <c r="A14" s="15" t="inlineStr">
        <is>
          <t>N13</t>
        </is>
      </c>
      <c r="B14" s="15" t="inlineStr">
        <is>
          <t>Окраска потолка 2 слоя + грунт</t>
        </is>
      </c>
      <c r="C14" s="15" t="inlineStr">
        <is>
          <t>м²</t>
        </is>
      </c>
      <c r="D14" s="23" t="inlineStr">
        <is>
          <t>как N12</t>
        </is>
      </c>
      <c r="E14" s="22" t="n">
        <v>5.4</v>
      </c>
      <c r="F14" s="15" t="inlineStr">
        <is>
          <t>X02</t>
        </is>
      </c>
      <c r="G14" s="26">
        <f>INDEX(Ставки!$F$2:$F$139,MATCH(F14,Ставки!$A$2:$A$139,0))</f>
        <v>10.0</v>
      </c>
      <c r="H14" s="2" t="inlineStr">
        <is>
          <t>розница Минск 27.09.2026, 02-цены-материалы.md</t>
        </is>
      </c>
    </row>
    <row r="15">
      <c r="A15" s="15" t="inlineStr">
        <is>
          <t>N14</t>
        </is>
      </c>
      <c r="B15" s="15" t="inlineStr">
        <is>
          <t>Подготовка существующей стяжки: шлифовка, пылесос, ремонт трещин</t>
        </is>
      </c>
      <c r="C15" s="15" t="inlineStr">
        <is>
          <t>м²</t>
        </is>
      </c>
      <c r="D15" s="23" t="inlineStr">
        <is>
          <t>ремсостав, диски ≈ 0,5</t>
        </is>
      </c>
      <c r="E15" s="22" t="n">
        <v>0.5</v>
      </c>
      <c r="F15" s="2" t="inlineStr">
        <is>
          <t>ввод</t>
        </is>
      </c>
      <c r="G15" s="22" t="n">
        <v>4</v>
      </c>
      <c r="H15" s="2" t="inlineStr">
        <is>
          <t>розница Минск 27.09.2026, 02-цены-материалы.md</t>
        </is>
      </c>
    </row>
    <row r="16">
      <c r="A16" s="15" t="inlineStr">
        <is>
          <t>N15</t>
        </is>
      </c>
      <c r="B16" s="15" t="inlineStr">
        <is>
          <t>Самонивелир 5 мм с грунтом ×2 и демпфером</t>
        </is>
      </c>
      <c r="C16" s="15" t="inlineStr">
        <is>
          <t>м²</t>
        </is>
      </c>
      <c r="D16" s="23" t="inlineStr">
        <is>
          <t>смесь 9,5 кг × 0,8 (CN 68 / ilmax 6705) + грунт 0,25 кг × 4 + демпферная лента</t>
        </is>
      </c>
      <c r="E16" s="22" t="n">
        <v>9</v>
      </c>
      <c r="F16" s="15" t="inlineStr">
        <is>
          <t>F04</t>
        </is>
      </c>
      <c r="G16" s="26">
        <f>INDEX(Ставки!$F$2:$F$139,MATCH(F16,Ставки!$A$2:$A$139,0))</f>
        <v>18.0</v>
      </c>
      <c r="H16" s="2" t="inlineStr">
        <is>
          <t>розница Минск 27.09.2026, 02-цены-материалы.md</t>
        </is>
      </c>
    </row>
    <row r="17">
      <c r="A17" s="15" t="inlineStr">
        <is>
          <t>N16</t>
        </is>
      </c>
      <c r="B17" s="15" t="inlineStr">
        <is>
          <t>Кварцвинил клеевой, палуба (с запасом 7 %)</t>
        </is>
      </c>
      <c r="C17" s="15" t="inlineStr">
        <is>
          <t>м²</t>
        </is>
      </c>
      <c r="D17" s="23" t="inlineStr">
        <is>
          <t>LVT 53 × 1,07 (Alpine Floor 48–51, FineFloor 59) + клей 0,3 кг × 10 (оценка)</t>
        </is>
      </c>
      <c r="E17" s="22" t="n">
        <v>60</v>
      </c>
      <c r="F17" s="15" t="inlineStr">
        <is>
          <t>F17</t>
        </is>
      </c>
      <c r="G17" s="26">
        <f>INDEX(Ставки!$F$2:$F$139,MATCH(F17,Ставки!$A$2:$A$139,0))</f>
        <v>30.0</v>
      </c>
      <c r="H17" s="2" t="inlineStr">
        <is>
          <t>розница Минск 27.09.2026, 02-цены-материалы.md</t>
        </is>
      </c>
    </row>
    <row r="18">
      <c r="A18" s="15" t="inlineStr">
        <is>
          <t>N17</t>
        </is>
      </c>
      <c r="B18" s="15" t="inlineStr">
        <is>
          <t>Плинтус МДФ</t>
        </is>
      </c>
      <c r="C18" s="15" t="inlineStr">
        <is>
          <t>м.п.</t>
        </is>
      </c>
      <c r="D18" s="23" t="inlineStr">
        <is>
          <t>1,05 м × 5,5 + крепёж, герметик</t>
        </is>
      </c>
      <c r="E18" s="22" t="n">
        <v>6.5</v>
      </c>
      <c r="F18" s="15" t="inlineStr">
        <is>
          <t>F20</t>
        </is>
      </c>
      <c r="G18" s="26">
        <f>INDEX(Ставки!$F$2:$F$139,MATCH(F18,Ставки!$A$2:$A$139,0))</f>
        <v>19.0</v>
      </c>
      <c r="H18" s="2" t="inlineStr">
        <is>
          <t>розница Минск 27.09.2026, 02-цены-материалы.md</t>
        </is>
      </c>
    </row>
    <row r="19">
      <c r="A19" s="15" t="inlineStr">
        <is>
          <t>N18</t>
        </is>
      </c>
      <c r="B19" s="15" t="inlineStr">
        <is>
          <t>Порожек</t>
        </is>
      </c>
      <c r="C19" s="15" t="inlineStr">
        <is>
          <t>шт</t>
        </is>
      </c>
      <c r="D19" s="23" t="inlineStr">
        <is>
          <t>алюминиевый порожек 15–30</t>
        </is>
      </c>
      <c r="E19" s="22" t="n">
        <v>22</v>
      </c>
      <c r="F19" s="15" t="inlineStr">
        <is>
          <t>F22</t>
        </is>
      </c>
      <c r="G19" s="26">
        <f>INDEX(Ставки!$F$2:$F$139,MATCH(F19,Ставки!$A$2:$A$139,0))</f>
        <v>25.0</v>
      </c>
      <c r="H19" s="2" t="inlineStr">
        <is>
          <t>розница Минск 27.09.2026, 02-цены-материалы.md</t>
        </is>
      </c>
    </row>
    <row r="20">
      <c r="A20" s="15" t="inlineStr">
        <is>
          <t>N19</t>
        </is>
      </c>
      <c r="B20" s="15" t="inlineStr">
        <is>
          <t>Электроточка полная (штроба + 6 м кабеля + подрозетник + механизм)</t>
        </is>
      </c>
      <c r="C20" s="15" t="inlineStr">
        <is>
          <t>точка</t>
        </is>
      </c>
      <c r="D20" s="23" t="inlineStr">
        <is>
          <t>ВВГнг-LS 6 м × 4 + гофра 6 м × 0,55 + подрозетник 1 + механизм 10</t>
        </is>
      </c>
      <c r="E20" s="22" t="n">
        <v>40</v>
      </c>
      <c r="F20" s="15" t="inlineStr">
        <is>
          <t>E18</t>
        </is>
      </c>
      <c r="G20" s="26">
        <f>INDEX(Ставки!$F$2:$F$139,MATCH(F20,Ставки!$A$2:$A$139,0))</f>
        <v>90.0</v>
      </c>
      <c r="H20" s="2" t="inlineStr">
        <is>
          <t>розница Минск 27.09.2026, 02-цены-материалы.md</t>
        </is>
      </c>
    </row>
    <row r="21">
      <c r="A21" s="15" t="inlineStr">
        <is>
          <t>N20</t>
        </is>
      </c>
      <c r="B21" s="15" t="inlineStr">
        <is>
          <t>Щит квартирный 24 модуля, IEK/ABB</t>
        </is>
      </c>
      <c r="C21" s="15" t="inlineStr">
        <is>
          <t>шт</t>
        </is>
      </c>
      <c r="D21" s="23" t="inlineStr">
        <is>
          <t>корпус 58 + 12 автоматов × 7–24 + 4 УЗО/дифа × 54–168</t>
        </is>
      </c>
      <c r="E21" s="22" t="n">
        <v>700</v>
      </c>
      <c r="F21" s="15" t="inlineStr">
        <is>
          <t>E12</t>
        </is>
      </c>
      <c r="G21" s="26">
        <f>INDEX(Ставки!$F$2:$F$139,MATCH(F21,Ставки!$A$2:$A$139,0))</f>
        <v>900.0</v>
      </c>
      <c r="H21" s="2" t="inlineStr">
        <is>
          <t>розница Минск 27.09.2026, 02-цены-материалы.md</t>
        </is>
      </c>
    </row>
    <row r="22">
      <c r="A22" s="15" t="inlineStr">
        <is>
          <t>N21</t>
        </is>
      </c>
      <c r="B22" s="15" t="inlineStr">
        <is>
          <t>Точка водоснабжения PPR/PEX</t>
        </is>
      </c>
      <c r="C22" s="15" t="inlineStr">
        <is>
          <t>точка</t>
        </is>
      </c>
      <c r="D22" s="23" t="inlineStr">
        <is>
          <t>труба 3–4 м + фитинги + кран</t>
        </is>
      </c>
      <c r="E22" s="22" t="n">
        <v>20</v>
      </c>
      <c r="F22" s="15" t="inlineStr">
        <is>
          <t>S01</t>
        </is>
      </c>
      <c r="G22" s="26">
        <f>INDEX(Ставки!$F$2:$F$139,MATCH(F22,Ставки!$A$2:$A$139,0))</f>
        <v>70.0</v>
      </c>
      <c r="H22" s="2" t="inlineStr">
        <is>
          <t>розница Минск 27.09.2026, 02-цены-материалы.md</t>
        </is>
      </c>
    </row>
    <row r="23">
      <c r="A23" s="15" t="inlineStr">
        <is>
          <t>N22</t>
        </is>
      </c>
      <c r="B23" s="15" t="inlineStr">
        <is>
          <t>Точка канализации</t>
        </is>
      </c>
      <c r="C23" s="15" t="inlineStr">
        <is>
          <t>точка</t>
        </is>
      </c>
      <c r="D23" s="23" t="inlineStr">
        <is>
          <t>труба 50 2 м × 4,2 + фитинги</t>
        </is>
      </c>
      <c r="E23" s="22" t="n">
        <v>12</v>
      </c>
      <c r="F23" s="15" t="inlineStr">
        <is>
          <t>S02</t>
        </is>
      </c>
      <c r="G23" s="26">
        <f>INDEX(Ставки!$F$2:$F$139,MATCH(F23,Ставки!$A$2:$A$139,0))</f>
        <v>45.0</v>
      </c>
      <c r="H23" s="2" t="inlineStr">
        <is>
          <t>розница Минск 27.09.2026, 02-цены-материалы.md</t>
        </is>
      </c>
    </row>
    <row r="24">
      <c r="A24" s="15" t="inlineStr">
        <is>
          <t>N23</t>
        </is>
      </c>
      <c r="B24" s="15" t="inlineStr">
        <is>
          <t>Гидроизоляция цементная 2 слоя (CR 65)</t>
        </is>
      </c>
      <c r="C24" s="15" t="inlineStr">
        <is>
          <t>м²</t>
        </is>
      </c>
      <c r="D24" s="23" t="inlineStr">
        <is>
          <t>3 кг × 1,84 + лента 0,6 м × 5</t>
        </is>
      </c>
      <c r="E24" s="22" t="n">
        <v>8.5</v>
      </c>
      <c r="F24" s="15" t="inlineStr">
        <is>
          <t>F05</t>
        </is>
      </c>
      <c r="G24" s="26">
        <f>INDEX(Ставки!$F$2:$F$139,MATCH(F24,Ставки!$A$2:$A$139,0))</f>
        <v>10.0</v>
      </c>
      <c r="H24" s="2" t="inlineStr">
        <is>
          <t>розница Минск 27.09.2026, 02-цены-материалы.md</t>
        </is>
      </c>
    </row>
    <row r="25">
      <c r="A25" s="15" t="inlineStr">
        <is>
          <t>N24</t>
        </is>
      </c>
      <c r="B25" s="15" t="inlineStr">
        <is>
          <t>Плитка на стены 30×60 (плитка 30 руб./м²)</t>
        </is>
      </c>
      <c r="C25" s="15" t="inlineStr">
        <is>
          <t>м²</t>
        </is>
      </c>
      <c r="D25" s="23" t="inlineStr">
        <is>
          <t>клей 4 кг × 0,6 + затирка 0,4 кг × 5 + грунт + плитка 30 × 1,08</t>
        </is>
      </c>
      <c r="E25" s="22" t="n">
        <v>37</v>
      </c>
      <c r="F25" s="15" t="inlineStr">
        <is>
          <t>F09</t>
        </is>
      </c>
      <c r="G25" s="26">
        <f>INDEX(Ставки!$F$2:$F$139,MATCH(F25,Ставки!$A$2:$A$139,0))</f>
        <v>45.0</v>
      </c>
      <c r="H25" s="2" t="inlineStr">
        <is>
          <t>розница Минск 27.09.2026, 02-цены-материалы.md</t>
        </is>
      </c>
    </row>
    <row r="26">
      <c r="A26" s="15" t="inlineStr">
        <is>
          <t>N25</t>
        </is>
      </c>
      <c r="B26" s="15" t="inlineStr">
        <is>
          <t>Керамогранит 60×60 на пол (плитка 55 руб./м²)</t>
        </is>
      </c>
      <c r="C26" s="15" t="inlineStr">
        <is>
          <t>м²</t>
        </is>
      </c>
      <c r="D26" s="23" t="inlineStr">
        <is>
          <t>клей 5 кг × 0,6 + затирка 0,5 кг × 5 + СВП + грунт + плитка 55 × 1,08</t>
        </is>
      </c>
      <c r="E26" s="22" t="n">
        <v>66</v>
      </c>
      <c r="F26" s="15" t="inlineStr">
        <is>
          <t>F10</t>
        </is>
      </c>
      <c r="G26" s="26">
        <f>INDEX(Ставки!$F$2:$F$139,MATCH(F26,Ставки!$A$2:$A$139,0))</f>
        <v>55.0</v>
      </c>
      <c r="H26" s="2" t="inlineStr">
        <is>
          <t>розница Минск 27.09.2026, 02-цены-материалы.md</t>
        </is>
      </c>
    </row>
    <row r="27">
      <c r="A27" s="15" t="inlineStr">
        <is>
          <t>N26</t>
        </is>
      </c>
      <c r="B27" s="15" t="inlineStr">
        <is>
          <t>Дверь межкомнатная, установка блока</t>
        </is>
      </c>
      <c r="C27" s="15" t="inlineStr">
        <is>
          <t>шт</t>
        </is>
      </c>
      <c r="D27" s="23" t="inlineStr">
        <is>
          <t>пена, крепёж ≈ 15; само полотно с коробкой 232–890 — отдельной строкой</t>
        </is>
      </c>
      <c r="E27" s="22" t="n">
        <v>15</v>
      </c>
      <c r="F27" s="15" t="inlineStr">
        <is>
          <t>X10</t>
        </is>
      </c>
      <c r="G27" s="26">
        <f>INDEX(Ставки!$F$2:$F$139,MATCH(F27,Ставки!$A$2:$A$139,0))</f>
        <v>118.0</v>
      </c>
      <c r="H27" s="2" t="inlineStr">
        <is>
          <t>розница Минск 27.09.2026, 02-цены-материалы.md</t>
        </is>
      </c>
    </row>
    <row r="28">
      <c r="A28" s="15" t="inlineStr">
        <is>
          <t>N27</t>
        </is>
      </c>
      <c r="B28" s="15" t="inlineStr">
        <is>
          <t>Уборка после ремонта</t>
        </is>
      </c>
      <c r="C28" s="15" t="inlineStr">
        <is>
          <t>м²</t>
        </is>
      </c>
      <c r="D28" s="23" t="inlineStr">
        <is>
          <t>услуга</t>
        </is>
      </c>
      <c r="E28" s="22" t="n">
        <v>0</v>
      </c>
      <c r="F28" s="15" t="inlineStr">
        <is>
          <t>O04</t>
        </is>
      </c>
      <c r="G28" s="26">
        <f>INDEX(Ставки!$F$2:$F$139,MATCH(F28,Ставки!$A$2:$A$139,0))</f>
        <v>4.5</v>
      </c>
      <c r="H28" s="2" t="inlineStr">
        <is>
          <t>розница Минск 27.09.2026, 02-цены-материалы.md</t>
        </is>
      </c>
    </row>
    <row r="30">
      <c r="A30" s="2" t="inlineStr">
        <is>
          <t>Материал на единицу — расчёт по розничным ценам и расходу из техкарт (04-техкарты-узлов.md), без запаса. Запас добавляется в смете параметром. Цены плитки и LVT в составе — условные, замените на выбранные.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1" customWidth="1" min="8" max="8"/>
    <col width="14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>
      <c r="A1" s="12" t="inlineStr">
        <is>
          <t>Ведомость объёмов по помещениям (пример — квартира 55 м², высота 2,65; замените на свои замеры)</t>
        </is>
      </c>
    </row>
    <row r="2">
      <c r="A2" s="27" t="inlineStr">
        <is>
          <t>Помещение</t>
        </is>
      </c>
      <c r="B2" s="27" t="inlineStr">
        <is>
          <t>Длина, м</t>
        </is>
      </c>
      <c r="C2" s="27" t="inlineStr">
        <is>
          <t>Ширина, м</t>
        </is>
      </c>
      <c r="D2" s="27" t="inlineStr">
        <is>
          <t>Высота, м</t>
        </is>
      </c>
      <c r="E2" s="27" t="inlineStr">
        <is>
          <t>Пол, м²</t>
        </is>
      </c>
      <c r="F2" s="27" t="inlineStr">
        <is>
          <t>Периметр, м</t>
        </is>
      </c>
      <c r="G2" s="27" t="inlineStr">
        <is>
          <t>Стены брутто, м²</t>
        </is>
      </c>
      <c r="H2" s="27" t="inlineStr">
        <is>
          <t>Проёмы, м²</t>
        </is>
      </c>
      <c r="I2" s="27" t="inlineStr">
        <is>
          <t>Стены нетто, м²</t>
        </is>
      </c>
      <c r="J2" s="27" t="inlineStr">
        <is>
          <t>Потолок, м²</t>
        </is>
      </c>
      <c r="K2" s="27" t="inlineStr">
        <is>
          <t>Откосы, м.п.</t>
        </is>
      </c>
      <c r="L2" s="27" t="inlineStr">
        <is>
          <t>Плинтус, м.п.</t>
        </is>
      </c>
      <c r="M2" s="27" t="inlineStr">
        <is>
          <t>Примечание</t>
        </is>
      </c>
    </row>
    <row r="3">
      <c r="A3" s="15" t="inlineStr">
        <is>
          <t>Гостиная</t>
        </is>
      </c>
      <c r="B3" s="22" t="n">
        <v>5.2</v>
      </c>
      <c r="C3" s="22" t="n">
        <v>3.6</v>
      </c>
      <c r="D3" s="22" t="n">
        <v>2.65</v>
      </c>
      <c r="E3" s="28">
        <f>B3*C3</f>
        <v>18.72</v>
      </c>
      <c r="F3" s="28">
        <f>2*(B3+C3)</f>
        <v>17.6</v>
      </c>
      <c r="G3" s="28">
        <f>F3*D3</f>
        <v>46.64</v>
      </c>
      <c r="H3" s="22" t="n">
        <v>3.6</v>
      </c>
      <c r="I3" s="28">
        <f>G3-H3</f>
        <v>43.04</v>
      </c>
      <c r="J3" s="28">
        <f>E3</f>
        <v>18.72</v>
      </c>
      <c r="K3" s="22" t="n">
        <v>5</v>
      </c>
      <c r="L3" s="28">
        <f>F3-4.6</f>
        <v>13.0</v>
      </c>
      <c r="M3" s="2" t="inlineStr">
        <is>
          <t>стены шпаклёвка, пол LVT</t>
        </is>
      </c>
    </row>
    <row r="4">
      <c r="A4" s="15" t="inlineStr">
        <is>
          <t>Спальня</t>
        </is>
      </c>
      <c r="B4" s="22" t="n">
        <v>4</v>
      </c>
      <c r="C4" s="22" t="n">
        <v>3.2</v>
      </c>
      <c r="D4" s="22" t="n">
        <v>2.65</v>
      </c>
      <c r="E4" s="28">
        <f>B4*C4</f>
        <v>12.8</v>
      </c>
      <c r="F4" s="28">
        <f>2*(B4+C4)</f>
        <v>14.4</v>
      </c>
      <c r="G4" s="28">
        <f>F4*D4</f>
        <v>38.16</v>
      </c>
      <c r="H4" s="22" t="n">
        <v>3.6</v>
      </c>
      <c r="I4" s="28">
        <f>G4-H4</f>
        <v>34.56</v>
      </c>
      <c r="J4" s="28">
        <f>E4</f>
        <v>12.8</v>
      </c>
      <c r="K4" s="22" t="n">
        <v>5</v>
      </c>
      <c r="L4" s="28">
        <f>F4-4.6</f>
        <v>9.8</v>
      </c>
      <c r="M4" s="2" t="inlineStr">
        <is>
          <t>стены шпаклёвка, пол LVT</t>
        </is>
      </c>
    </row>
    <row r="5">
      <c r="A5" s="15" t="inlineStr">
        <is>
          <t>Кухня</t>
        </is>
      </c>
      <c r="B5" s="22" t="n">
        <v>3.4</v>
      </c>
      <c r="C5" s="22" t="n">
        <v>3</v>
      </c>
      <c r="D5" s="22" t="n">
        <v>2.65</v>
      </c>
      <c r="E5" s="28">
        <f>B5*C5</f>
        <v>10.2</v>
      </c>
      <c r="F5" s="28">
        <f>2*(B5+C5)</f>
        <v>12.8</v>
      </c>
      <c r="G5" s="28">
        <f>F5*D5</f>
        <v>33.92</v>
      </c>
      <c r="H5" s="22" t="n">
        <v>3.6</v>
      </c>
      <c r="I5" s="28">
        <f>G5-H5</f>
        <v>30.32</v>
      </c>
      <c r="J5" s="28">
        <f>E5</f>
        <v>10.2</v>
      </c>
      <c r="K5" s="22" t="n">
        <v>5</v>
      </c>
      <c r="L5" s="28">
        <f>F5-3.6</f>
        <v>9.2</v>
      </c>
      <c r="M5" s="2" t="inlineStr">
        <is>
          <t>стены шпаклёвка, пол LVT; фартук отдельно</t>
        </is>
      </c>
    </row>
    <row r="6">
      <c r="A6" s="15" t="inlineStr">
        <is>
          <t>Коридор</t>
        </is>
      </c>
      <c r="B6" s="22" t="n">
        <v>4.5</v>
      </c>
      <c r="C6" s="22" t="n">
        <v>1.4</v>
      </c>
      <c r="D6" s="22" t="n">
        <v>2.65</v>
      </c>
      <c r="E6" s="28">
        <f>B6*C6</f>
        <v>6.3</v>
      </c>
      <c r="F6" s="28">
        <f>2*(B6+C6)</f>
        <v>11.8</v>
      </c>
      <c r="G6" s="28">
        <f>F6*D6</f>
        <v>31.27</v>
      </c>
      <c r="H6" s="22" t="n">
        <v>7.2</v>
      </c>
      <c r="I6" s="28">
        <f>G6-H6</f>
        <v>24.07</v>
      </c>
      <c r="J6" s="28">
        <f>E6</f>
        <v>6.3</v>
      </c>
      <c r="K6" s="22" t="n">
        <v>0</v>
      </c>
      <c r="L6" s="28">
        <f>F6-4.0</f>
        <v>7.8</v>
      </c>
      <c r="M6" s="2" t="inlineStr">
        <is>
          <t>четыре дверных проёма</t>
        </is>
      </c>
    </row>
    <row r="7">
      <c r="A7" s="15" t="inlineStr">
        <is>
          <t>Санузел</t>
        </is>
      </c>
      <c r="B7" s="22" t="n">
        <v>2.2</v>
      </c>
      <c r="C7" s="22" t="n">
        <v>1.8</v>
      </c>
      <c r="D7" s="22" t="n">
        <v>2.65</v>
      </c>
      <c r="E7" s="28">
        <f>B7*C7</f>
        <v>3.96</v>
      </c>
      <c r="F7" s="28">
        <f>2*(B7+C7)</f>
        <v>8.0</v>
      </c>
      <c r="G7" s="28">
        <f>F7*D7</f>
        <v>21.2</v>
      </c>
      <c r="H7" s="22" t="n">
        <v>1.6</v>
      </c>
      <c r="I7" s="28">
        <f>G7-H7</f>
        <v>19.6</v>
      </c>
      <c r="J7" s="28">
        <f>E7</f>
        <v>3.96</v>
      </c>
      <c r="K7" s="22" t="n">
        <v>0</v>
      </c>
      <c r="L7" s="28">
        <f>F7-0</f>
        <v>8.0</v>
      </c>
      <c r="M7" s="2" t="inlineStr">
        <is>
          <t>стены плитка, пол керамогранит — считаются в смете отдельно</t>
        </is>
      </c>
    </row>
    <row r="8">
      <c r="A8" s="12" t="inlineStr">
        <is>
          <t>Итого</t>
        </is>
      </c>
      <c r="E8" s="13">
        <f>SUM(E3:E7)</f>
        <v>51.98</v>
      </c>
      <c r="G8" s="13">
        <f>SUM(G3:G7)</f>
        <v>171.19</v>
      </c>
      <c r="H8" s="13">
        <f>SUM(H3:H7)</f>
        <v>19.6</v>
      </c>
      <c r="I8" s="13">
        <f>SUM(I3:I7)</f>
        <v>151.59</v>
      </c>
      <c r="J8" s="13">
        <f>SUM(J3:J7)</f>
        <v>51.98</v>
      </c>
      <c r="K8" s="13">
        <f>SUM(K3:K7)</f>
        <v>15.0</v>
      </c>
      <c r="L8" s="13">
        <f>SUM(L3:L7)</f>
        <v>47.8</v>
      </c>
    </row>
    <row r="9">
      <c r="A9" s="12" t="inlineStr">
        <is>
          <t>Итого без санузла</t>
        </is>
      </c>
      <c r="E9" s="13">
        <f>SUM(E3:E6)</f>
        <v>48.02</v>
      </c>
      <c r="I9" s="13">
        <f>SUM(I3:I6)</f>
        <v>131.99</v>
      </c>
      <c r="J9" s="13">
        <f>SUM(J3:J6)</f>
        <v>48.02</v>
      </c>
      <c r="L9" s="13">
        <f>SUM(L3:L6)</f>
        <v>39.8</v>
      </c>
    </row>
    <row r="11">
      <c r="A11" s="2" t="inlineStr">
        <is>
          <t>Проёмы вычитаются по наружному обводу коробок (окно ≈ 1,5×1,4 = 2,1 м², дверь 0,9×2,1 ≈ 1,9 м²). Откосы считаются отдельно в м.п. Плинтус = периметр минус дверные проёмы. Для микроцемента действуют правила обмера из CLAUDE.md.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2026-09-27T20:19:32Z</dcterms:created>
  <dcterms:modified xsi:type="dcterms:W3CDTF">2026-09-27T20:19:32Z</dcterms:modified>
</cp:coreProperties>
</file>