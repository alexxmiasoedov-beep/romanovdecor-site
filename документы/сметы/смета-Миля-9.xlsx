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Параметры" sheetId="2" state="visible" r:id="rId2"/>
    <sheet name="Ставки" sheetId="3" state="visible" r:id="rId3"/>
    <sheet name="Узлы" sheetId="4" state="visible" r:id="rId4"/>
    <sheet name="Объём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color rgb="00008000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FFF99"/>
      </patternFill>
    </fill>
    <fill>
      <patternFill patternType="solid">
        <fgColor rgb="00F5EFE2"/>
      </patternFill>
    </fill>
    <fill>
      <patternFill patternType="solid">
        <fgColor rgb="00F5E2BB"/>
      </patternFill>
    </fill>
  </fills>
  <borders count="2">
    <border>
      <left/>
      <right/>
      <top/>
      <bottom/>
      <diagonal/>
    </border>
    <border>
      <left style="thin">
        <color rgb="00CBBF9F"/>
      </left>
      <right style="thin">
        <color rgb="00CBBF9F"/>
      </right>
      <top style="thin">
        <color rgb="00CBBF9F"/>
      </top>
      <bottom style="thin">
        <color rgb="00CBBF9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0" pivotButton="0" quotePrefix="0" xfId="0"/>
    <xf numFmtId="0" fontId="3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4" fontId="4" fillId="3" borderId="1" pivotButton="0" quotePrefix="0" xfId="0"/>
    <xf numFmtId="0" fontId="7" fillId="0" borderId="0" pivotButton="0" quotePrefix="0" xfId="0"/>
    <xf numFmtId="4" fontId="7" fillId="5" borderId="0" pivotButton="0" quotePrefix="0" xfId="0"/>
    <xf numFmtId="4" fontId="7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5" borderId="0" pivotButton="0" quotePrefix="0" xfId="0"/>
    <xf numFmtId="0" fontId="8" fillId="0" borderId="0" pivotButton="0" quotePrefix="0" xfId="0"/>
    <xf numFmtId="4" fontId="8" fillId="5" borderId="0" pivotButton="0" quotePrefix="0" xfId="0"/>
    <xf numFmtId="164" fontId="3" fillId="5" borderId="0" pivotButton="0" quotePrefix="0" xfId="0"/>
    <xf numFmtId="0" fontId="5" fillId="0" borderId="0" applyAlignment="1" pivotButton="0" quotePrefix="0" xfId="0">
      <alignment vertical="top" wrapText="1"/>
    </xf>
    <xf numFmtId="0" fontId="2" fillId="2" borderId="0" pivotButton="0" quotePrefix="0" xfId="0"/>
    <xf numFmtId="4" fontId="4" fillId="3" borderId="0" pivotButton="0" quotePrefix="0" xfId="0"/>
    <xf numFmtId="164" fontId="4" fillId="3" borderId="0" pivotButton="0" quotePrefix="0" xfId="0"/>
    <xf numFmtId="4" fontId="4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66" customWidth="1" min="3" max="3"/>
    <col width="8" customWidth="1" min="4" max="4"/>
    <col width="10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СМЕТА на ремонт квартиры «под ключ» — ул. Миля 9, Минск</t>
        </is>
      </c>
    </row>
    <row r="2">
      <c r="A2" s="2" t="inlineStr">
        <is>
          <t>Основание: дизайн-проект Interior AK Design (Хворостов А.О.), 31.07.2026, 49 листов. Заказчики: Юлия и Павел. Площадь 53,88 м² без балкона (57,03 с балконом), высота 2,73 м. Цены — Минск, срез 27.09.2026, BYN без НДС.</t>
        </is>
      </c>
    </row>
    <row r="3">
      <c r="A3" s="2" t="inlineStr">
        <is>
          <t>Условия просчёта: штукатурятся только новые перегородки, остальные стены шпаклюются; пол — самонивелир 10 мм (по проекту) и клеевой винил Quick-Step Pristine; микроцемент санузла — по модели студии UNICORE. Чистовые материалы заказчика — ориентировочно.</t>
        </is>
      </c>
    </row>
    <row r="5" ht="30" customHeight="1">
      <c r="A5" s="3" t="inlineStr">
        <is>
          <t>№</t>
        </is>
      </c>
      <c r="B5" s="3" t="inlineStr">
        <is>
          <t>Код</t>
        </is>
      </c>
      <c r="C5" s="3" t="inlineStr">
        <is>
          <t>Наименование работ и затрат</t>
        </is>
      </c>
      <c r="D5" s="3" t="inlineStr">
        <is>
          <t>Ед.</t>
        </is>
      </c>
      <c r="E5" s="3" t="inlineStr">
        <is>
          <t>Объём</t>
        </is>
      </c>
      <c r="F5" s="3" t="inlineStr">
        <is>
          <t>Работа, BYN/ед.</t>
        </is>
      </c>
      <c r="G5" s="3" t="inlineStr">
        <is>
          <t>Материал, BYN/ед.</t>
        </is>
      </c>
      <c r="H5" s="3" t="inlineStr">
        <is>
          <t>Работа, BYN</t>
        </is>
      </c>
      <c r="I5" s="3" t="inlineStr">
        <is>
          <t>Материал, BYN</t>
        </is>
      </c>
      <c r="J5" s="3" t="inlineStr">
        <is>
          <t>Всего, BYN</t>
        </is>
      </c>
      <c r="K5" s="3" t="inlineStr">
        <is>
          <t>Основание / примечание</t>
        </is>
      </c>
    </row>
    <row r="6">
      <c r="A6" s="4" t="n"/>
      <c r="B6" s="4" t="n"/>
      <c r="C6" s="5" t="inlineStr">
        <is>
          <t>1. Демонтаж и подготовка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6" t="n">
        <v>1</v>
      </c>
      <c r="B7" s="6" t="inlineStr">
        <is>
          <t>M01</t>
        </is>
      </c>
      <c r="C7" s="7" t="str">
        <f>INDEX(Узлы!$B$2:$B$59,MATCH(B7,Узлы!$A$2:$A$59,0))</f>
        <v>Демонтаж участков перегородок и вырезка проёмов 800/900 (кирпич/блок ~140 мм)</v>
      </c>
      <c r="D7" s="7" t="str">
        <f>INDEX(Узлы!$C$2:$C$59,MATCH(B7,Узлы!$A$2:$A$59,0))</f>
        <v>м²</v>
      </c>
      <c r="E7" s="8">
        <f>Объёмы!$B$11</f>
        <v>6.5457</v>
      </c>
      <c r="F7" s="8">
        <f>INDEX(Узлы!$G$2:$G$59,MATCH(B7,Узлы!$A$2:$A$59,0))</f>
        <v>14.0</v>
      </c>
      <c r="G7" s="8">
        <f>INDEX(Узлы!$E$2:$E$59,MATCH(B7,Узлы!$A$2:$A$59,0))</f>
        <v>0.0</v>
      </c>
      <c r="H7" s="9">
        <f>E7*F7</f>
        <v>91.6398</v>
      </c>
      <c r="I7" s="9">
        <f>E7*G7</f>
        <v>0.0</v>
      </c>
      <c r="J7" s="9">
        <f>H7+I7</f>
        <v>91.6398</v>
      </c>
      <c r="K7" s="10" t="inlineStr">
        <is>
          <t>лист 3–4</t>
        </is>
      </c>
    </row>
    <row r="8">
      <c r="A8" s="6" t="n">
        <v>2</v>
      </c>
      <c r="B8" s="6" t="inlineStr">
        <is>
          <t>M02</t>
        </is>
      </c>
      <c r="C8" s="7" t="str">
        <f>INDEX(Узлы!$B$2:$B$59,MATCH(B8,Узлы!$A$2:$A$59,0))</f>
        <v>Демонтаж радиаторов</v>
      </c>
      <c r="D8" s="7" t="str">
        <f>INDEX(Узлы!$C$2:$C$59,MATCH(B8,Узлы!$A$2:$A$59,0))</f>
        <v>шт</v>
      </c>
      <c r="E8" s="11" t="n">
        <v>2</v>
      </c>
      <c r="F8" s="8">
        <f>INDEX(Узлы!$G$2:$G$59,MATCH(B8,Узлы!$A$2:$A$59,0))</f>
        <v>30.0</v>
      </c>
      <c r="G8" s="8">
        <f>INDEX(Узлы!$E$2:$E$59,MATCH(B8,Узлы!$A$2:$A$59,0))</f>
        <v>0.0</v>
      </c>
      <c r="H8" s="9">
        <f>E8*F8</f>
        <v>60.0</v>
      </c>
      <c r="I8" s="9">
        <f>E8*G8</f>
        <v>0.0</v>
      </c>
      <c r="J8" s="9">
        <f>H8+I8</f>
        <v>60.0</v>
      </c>
      <c r="K8" s="10" t="inlineStr">
        <is>
          <t>лист 3</t>
        </is>
      </c>
    </row>
    <row r="9">
      <c r="A9" s="6" t="n">
        <v>3</v>
      </c>
      <c r="B9" s="6" t="inlineStr">
        <is>
          <t>M03</t>
        </is>
      </c>
      <c r="C9" s="7" t="str">
        <f>INDEX(Узлы!$B$2:$B$59,MATCH(B9,Узлы!$A$2:$A$59,0))</f>
        <v>Демонтаж эл. щитка с переносом (ниша в стене h=1500)</v>
      </c>
      <c r="D9" s="7" t="str">
        <f>INDEX(Узлы!$C$2:$C$59,MATCH(B9,Узлы!$A$2:$A$59,0))</f>
        <v>шт</v>
      </c>
      <c r="E9" s="11" t="n">
        <v>1</v>
      </c>
      <c r="F9" s="8">
        <f>INDEX(Узлы!$G$2:$G$59,MATCH(B9,Узлы!$A$2:$A$59,0))</f>
        <v>150.0</v>
      </c>
      <c r="G9" s="8">
        <f>INDEX(Узлы!$E$2:$E$59,MATCH(B9,Узлы!$A$2:$A$59,0))</f>
        <v>30.0</v>
      </c>
      <c r="H9" s="9">
        <f>E9*F9</f>
        <v>150.0</v>
      </c>
      <c r="I9" s="9">
        <f>E9*G9</f>
        <v>30.0</v>
      </c>
      <c r="J9" s="9">
        <f>H9+I9</f>
        <v>180.0</v>
      </c>
      <c r="K9" s="10" t="inlineStr">
        <is>
          <t>лист 3–4, перенос щитка</t>
        </is>
      </c>
    </row>
    <row r="10">
      <c r="A10" s="6" t="n">
        <v>4</v>
      </c>
      <c r="B10" s="6" t="inlineStr">
        <is>
          <t>M04</t>
        </is>
      </c>
      <c r="C10" s="7" t="str">
        <f>INDEX(Узлы!$B$2:$B$59,MATCH(B10,Узлы!$A$2:$A$59,0))</f>
        <v>Вынос мусора, мешок</v>
      </c>
      <c r="D10" s="7" t="str">
        <f>INDEX(Узлы!$C$2:$C$59,MATCH(B10,Узлы!$A$2:$A$59,0))</f>
        <v>мешок</v>
      </c>
      <c r="E10" s="11" t="n">
        <v>60</v>
      </c>
      <c r="F10" s="8">
        <f>INDEX(Узлы!$G$2:$G$59,MATCH(B10,Узлы!$A$2:$A$59,0))</f>
        <v>2.0</v>
      </c>
      <c r="G10" s="8">
        <f>INDEX(Узлы!$E$2:$E$59,MATCH(B10,Узлы!$A$2:$A$59,0))</f>
        <v>0.7</v>
      </c>
      <c r="H10" s="9">
        <f>E10*F10</f>
        <v>120.0</v>
      </c>
      <c r="I10" s="9">
        <f>E10*G10</f>
        <v>42.0</v>
      </c>
      <c r="J10" s="9">
        <f>H10+I10</f>
        <v>162.0</v>
      </c>
      <c r="K10" s="10" t="inlineStr">
        <is>
          <t>оценка: блоки, штробы, упаковка</t>
        </is>
      </c>
    </row>
    <row r="11">
      <c r="A11" s="6" t="n">
        <v>5</v>
      </c>
      <c r="B11" s="6" t="inlineStr">
        <is>
          <t>M05</t>
        </is>
      </c>
      <c r="C11" s="7" t="str">
        <f>INDEX(Узлы!$B$2:$B$59,MATCH(B11,Узлы!$A$2:$A$59,0))</f>
        <v>Контейнер 8 м³ / Газель</v>
      </c>
      <c r="D11" s="7" t="str">
        <f>INDEX(Узлы!$C$2:$C$59,MATCH(B11,Узлы!$A$2:$A$59,0))</f>
        <v>рейс</v>
      </c>
      <c r="E11" s="11" t="n">
        <v>2</v>
      </c>
      <c r="F11" s="8">
        <f>INDEX(Узлы!$G$2:$G$59,MATCH(B11,Узлы!$A$2:$A$59,0))</f>
        <v>180.0</v>
      </c>
      <c r="G11" s="8">
        <f>INDEX(Узлы!$E$2:$E$59,MATCH(B11,Узлы!$A$2:$A$59,0))</f>
        <v>0.0</v>
      </c>
      <c r="H11" s="9">
        <f>E11*F11</f>
        <v>360.0</v>
      </c>
      <c r="I11" s="9">
        <f>E11*G11</f>
        <v>0.0</v>
      </c>
      <c r="J11" s="9">
        <f>H11+I11</f>
        <v>360.0</v>
      </c>
      <c r="K11" s="10" t="inlineStr">
        <is>
          <t>оценка</t>
        </is>
      </c>
    </row>
    <row r="12">
      <c r="C12" s="12" t="inlineStr">
        <is>
          <t>Итого по разделу</t>
        </is>
      </c>
      <c r="H12" s="13">
        <f>SUM(H7:H11)</f>
        <v>781.6398</v>
      </c>
      <c r="I12" s="13">
        <f>SUM(I7:I11)</f>
        <v>72.0</v>
      </c>
      <c r="J12" s="13">
        <f>SUM(J7:J11)</f>
        <v>853.6398</v>
      </c>
    </row>
    <row r="14">
      <c r="A14" s="4" t="n"/>
      <c r="B14" s="4" t="n"/>
      <c r="C14" s="5" t="inlineStr">
        <is>
          <t>2. Перегородки и конструкции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6" t="n">
        <v>6</v>
      </c>
      <c r="B15" s="6" t="inlineStr">
        <is>
          <t>M06</t>
        </is>
      </c>
      <c r="C15" s="7" t="str">
        <f>INDEX(Узлы!$B$2:$B$59,MATCH(B15,Узлы!$A$2:$A$59,0))</f>
        <v>Перегородка керамзитобетон 120 мм</v>
      </c>
      <c r="D15" s="7" t="str">
        <f>INDEX(Узлы!$C$2:$C$59,MATCH(B15,Узлы!$A$2:$A$59,0))</f>
        <v>м²</v>
      </c>
      <c r="E15" s="8">
        <f>Объёмы!$B$12</f>
        <v>5.5</v>
      </c>
      <c r="F15" s="8">
        <f>INDEX(Узлы!$G$2:$G$59,MATCH(B15,Узлы!$A$2:$A$59,0))</f>
        <v>36.0</v>
      </c>
      <c r="G15" s="8">
        <f>INDEX(Узлы!$E$2:$E$59,MATCH(B15,Узлы!$A$2:$A$59,0))</f>
        <v>44.0</v>
      </c>
      <c r="H15" s="9">
        <f>E15*F15</f>
        <v>198.0</v>
      </c>
      <c r="I15" s="9">
        <f>E15*G15</f>
        <v>242.0</v>
      </c>
      <c r="J15" s="9">
        <f>H15+I15</f>
        <v>440.0</v>
      </c>
      <c r="K15" s="10" t="inlineStr">
        <is>
          <t>лист 4</t>
        </is>
      </c>
    </row>
    <row r="16">
      <c r="A16" s="6" t="n">
        <v>7</v>
      </c>
      <c r="B16" s="6" t="inlineStr">
        <is>
          <t>M07</t>
        </is>
      </c>
      <c r="C16" s="7" t="str">
        <f>INDEX(Узлы!$B$2:$B$59,MATCH(B16,Узлы!$A$2:$A$59,0))</f>
        <v>Перегородка керамзитобетон 100 мм</v>
      </c>
      <c r="D16" s="7" t="str">
        <f>INDEX(Узлы!$C$2:$C$59,MATCH(B16,Узлы!$A$2:$A$59,0))</f>
        <v>м²</v>
      </c>
      <c r="E16" s="8">
        <f>Объёмы!$B$13</f>
        <v>11.67</v>
      </c>
      <c r="F16" s="8">
        <f>INDEX(Узлы!$G$2:$G$59,MATCH(B16,Узлы!$A$2:$A$59,0))</f>
        <v>36.0</v>
      </c>
      <c r="G16" s="8">
        <f>INDEX(Узлы!$E$2:$E$59,MATCH(B16,Узлы!$A$2:$A$59,0))</f>
        <v>38.0</v>
      </c>
      <c r="H16" s="9">
        <f>E16*F16</f>
        <v>420.12</v>
      </c>
      <c r="I16" s="9">
        <f>E16*G16</f>
        <v>443.46</v>
      </c>
      <c r="J16" s="9">
        <f>H16+I16</f>
        <v>863.58</v>
      </c>
      <c r="K16" s="10" t="inlineStr">
        <is>
          <t>лист 4</t>
        </is>
      </c>
    </row>
    <row r="17">
      <c r="A17" s="6" t="n">
        <v>8</v>
      </c>
      <c r="B17" s="6" t="inlineStr">
        <is>
          <t>M08</t>
        </is>
      </c>
      <c r="C17" s="7" t="str">
        <f>INDEX(Узлы!$B$2:$B$59,MATCH(B17,Узлы!$A$2:$A$59,0))</f>
        <v>Перемычка над проёмом 900 в новой перегородке</v>
      </c>
      <c r="D17" s="7" t="str">
        <f>INDEX(Узлы!$C$2:$C$59,MATCH(B17,Узлы!$A$2:$A$59,0))</f>
        <v>шт</v>
      </c>
      <c r="E17" s="11" t="n">
        <v>1</v>
      </c>
      <c r="F17" s="8">
        <f>INDEX(Узлы!$G$2:$G$59,MATCH(B17,Узлы!$A$2:$A$59,0))</f>
        <v>60.0</v>
      </c>
      <c r="G17" s="8">
        <f>INDEX(Узлы!$E$2:$E$59,MATCH(B17,Узлы!$A$2:$A$59,0))</f>
        <v>40.0</v>
      </c>
      <c r="H17" s="9">
        <f>E17*F17</f>
        <v>60.0</v>
      </c>
      <c r="I17" s="9">
        <f>E17*G17</f>
        <v>40.0</v>
      </c>
      <c r="J17" s="9">
        <f>H17+I17</f>
        <v>100.0</v>
      </c>
      <c r="K17" s="10" t="inlineStr">
        <is>
          <t>проём 900 в перегородке детской</t>
        </is>
      </c>
    </row>
    <row r="18">
      <c r="A18" s="6" t="n">
        <v>9</v>
      </c>
      <c r="B18" s="6" t="inlineStr">
        <is>
          <t>M09</t>
        </is>
      </c>
      <c r="C18" s="7" t="str">
        <f>INDEX(Узлы!$B$2:$B$59,MATCH(B18,Узлы!$A$2:$A$59,0))</f>
        <v>Короб ГКЛВ инсталляции h=1200 и зашивки стояков</v>
      </c>
      <c r="D18" s="7" t="str">
        <f>INDEX(Узлы!$C$2:$C$59,MATCH(B18,Узлы!$A$2:$A$59,0))</f>
        <v>м.п.</v>
      </c>
      <c r="E18" s="11" t="n">
        <v>3</v>
      </c>
      <c r="F18" s="8">
        <f>INDEX(Узлы!$G$2:$G$59,MATCH(B18,Узлы!$A$2:$A$59,0))</f>
        <v>160.0</v>
      </c>
      <c r="G18" s="8">
        <f>INDEX(Узлы!$E$2:$E$59,MATCH(B18,Узлы!$A$2:$A$59,0))</f>
        <v>45.0</v>
      </c>
      <c r="H18" s="9">
        <f>E18*F18</f>
        <v>480.0</v>
      </c>
      <c r="I18" s="9">
        <f>E18*G18</f>
        <v>135.0</v>
      </c>
      <c r="J18" s="9">
        <f>H18+I18</f>
        <v>615.0</v>
      </c>
      <c r="K18" s="10" t="inlineStr">
        <is>
          <t>лист 6–7: короб инсталляции 1,2 м + зашивки, оценка 3 м.п.</t>
        </is>
      </c>
    </row>
    <row r="19">
      <c r="A19" s="6" t="n">
        <v>10</v>
      </c>
      <c r="B19" s="6" t="inlineStr">
        <is>
          <t>M10</t>
        </is>
      </c>
      <c r="C19" s="7" t="str">
        <f>INDEX(Узлы!$B$2:$B$59,MATCH(B19,Узлы!$A$2:$A$59,0))</f>
        <v>Люк ревизионный скрытый под плитку/микроцемент</v>
      </c>
      <c r="D19" s="7" t="str">
        <f>INDEX(Узлы!$C$2:$C$59,MATCH(B19,Узлы!$A$2:$A$59,0))</f>
        <v>шт</v>
      </c>
      <c r="E19" s="11" t="n">
        <v>1</v>
      </c>
      <c r="F19" s="8">
        <f>INDEX(Узлы!$G$2:$G$59,MATCH(B19,Узлы!$A$2:$A$59,0))</f>
        <v>110.0</v>
      </c>
      <c r="G19" s="8">
        <f>INDEX(Узлы!$E$2:$E$59,MATCH(B19,Узлы!$A$2:$A$59,0))</f>
        <v>120.0</v>
      </c>
      <c r="H19" s="9">
        <f>E19*F19</f>
        <v>110.0</v>
      </c>
      <c r="I19" s="9">
        <f>E19*G19</f>
        <v>120.0</v>
      </c>
      <c r="J19" s="9">
        <f>H19+I19</f>
        <v>230.0</v>
      </c>
      <c r="K19" s="10" t="inlineStr">
        <is>
          <t>доступ к инсталляции/коллекторам</t>
        </is>
      </c>
    </row>
    <row r="20">
      <c r="C20" s="12" t="inlineStr">
        <is>
          <t>Итого по разделу</t>
        </is>
      </c>
      <c r="H20" s="13">
        <f>SUM(H15:H19)</f>
        <v>1268.12</v>
      </c>
      <c r="I20" s="13">
        <f>SUM(I15:I19)</f>
        <v>980.46</v>
      </c>
      <c r="J20" s="13">
        <f>SUM(J15:J19)</f>
        <v>2248.58</v>
      </c>
    </row>
    <row r="22">
      <c r="A22" s="4" t="n"/>
      <c r="B22" s="4" t="n"/>
      <c r="C22" s="5" t="inlineStr">
        <is>
          <t>3. Штукатурка новых стен, шпаклёвка существующих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6" t="n">
        <v>11</v>
      </c>
      <c r="B23" s="6" t="inlineStr">
        <is>
          <t>M11</t>
        </is>
      </c>
      <c r="C23" s="7" t="str">
        <f>INDEX(Узлы!$B$2:$B$59,MATCH(B23,Узлы!$A$2:$A$59,0))</f>
        <v>Штукатурка гипсовая по маякам 15 мм — ТОЛЬКО новые перегородки (обе стороны)</v>
      </c>
      <c r="D23" s="7" t="str">
        <f>INDEX(Узлы!$C$2:$C$59,MATCH(B23,Узлы!$A$2:$A$59,0))</f>
        <v>м²</v>
      </c>
      <c r="E23" s="8">
        <f>Объёмы!$B$14</f>
        <v>32.45</v>
      </c>
      <c r="F23" s="8">
        <f>INDEX(Узлы!$G$2:$G$59,MATCH(B23,Узлы!$A$2:$A$59,0))</f>
        <v>20.0</v>
      </c>
      <c r="G23" s="8">
        <f>INDEX(Узлы!$E$2:$E$59,MATCH(B23,Узлы!$A$2:$A$59,0))</f>
        <v>9.5</v>
      </c>
      <c r="H23" s="9">
        <f>E23*F23</f>
        <v>649.0</v>
      </c>
      <c r="I23" s="9">
        <f>E23*G23</f>
        <v>308.275</v>
      </c>
      <c r="J23" s="9">
        <f>H23+I23</f>
        <v>957.275</v>
      </c>
      <c r="K23" s="10" t="inlineStr">
        <is>
          <t>только возведённые стены</t>
        </is>
      </c>
    </row>
    <row r="24">
      <c r="A24" s="6" t="n">
        <v>12</v>
      </c>
      <c r="B24" s="6" t="inlineStr">
        <is>
          <t>M12</t>
        </is>
      </c>
      <c r="C24" s="7" t="str">
        <f>INDEX(Узлы!$B$2:$B$59,MATCH(B24,Узлы!$A$2:$A$59,0))</f>
        <v>Откосы окон и балконной двери: штукатурка + шпаклёвка + покраска</v>
      </c>
      <c r="D24" s="7" t="str">
        <f>INDEX(Узлы!$C$2:$C$59,MATCH(B24,Узлы!$A$2:$A$59,0))</f>
        <v>м.п.</v>
      </c>
      <c r="E24" s="8">
        <f>Объёмы!$B$24</f>
        <v>20.0</v>
      </c>
      <c r="F24" s="8">
        <f>INDEX(Узлы!$G$2:$G$59,MATCH(B24,Узлы!$A$2:$A$59,0))</f>
        <v>45.0</v>
      </c>
      <c r="G24" s="8">
        <f>INDEX(Узлы!$E$2:$E$59,MATCH(B24,Узлы!$A$2:$A$59,0))</f>
        <v>8.0</v>
      </c>
      <c r="H24" s="9">
        <f>E24*F24</f>
        <v>900.0</v>
      </c>
      <c r="I24" s="9">
        <f>E24*G24</f>
        <v>160.0</v>
      </c>
      <c r="J24" s="9">
        <f>H24+I24</f>
        <v>1060.0</v>
      </c>
      <c r="K24" s="10" t="inlineStr">
        <is>
          <t>оценка 20 м.п.</t>
        </is>
      </c>
    </row>
    <row r="25">
      <c r="A25" s="6" t="n">
        <v>13</v>
      </c>
      <c r="B25" s="6" t="inlineStr">
        <is>
          <t>M13</t>
        </is>
      </c>
      <c r="C25" s="7" t="str">
        <f>INDEX(Узлы!$B$2:$B$59,MATCH(B25,Узлы!$A$2:$A$59,0))</f>
        <v>Шпаклёвка Q3 по существующим стенам под покраску и декоративную штукатурку</v>
      </c>
      <c r="D25" s="7" t="str">
        <f>INDEX(Узлы!$C$2:$C$59,MATCH(B25,Узлы!$A$2:$A$59,0))</f>
        <v>м²</v>
      </c>
      <c r="E25" s="8">
        <f>Объёмы!$B$22</f>
        <v>111.0</v>
      </c>
      <c r="F25" s="8">
        <f>INDEX(Узлы!$G$2:$G$59,MATCH(B25,Узлы!$A$2:$A$59,0))</f>
        <v>30.0</v>
      </c>
      <c r="G25" s="8">
        <f>INDEX(Узлы!$E$2:$E$59,MATCH(B25,Узлы!$A$2:$A$59,0))</f>
        <v>8.3</v>
      </c>
      <c r="H25" s="9">
        <f>E25*F25</f>
        <v>3330.0</v>
      </c>
      <c r="I25" s="9">
        <f>E25*G25</f>
        <v>921.3</v>
      </c>
      <c r="J25" s="9">
        <f>H25+I25</f>
        <v>4251.3</v>
      </c>
      <c r="K25" s="10" t="inlineStr">
        <is>
          <t>ДК-1 61 + УСЛ-1 50 м²; класс «улучшенная» на существующих стенах</t>
        </is>
      </c>
    </row>
    <row r="26">
      <c r="A26" s="6" t="n">
        <v>14</v>
      </c>
      <c r="B26" s="6" t="inlineStr">
        <is>
          <t>M14</t>
        </is>
      </c>
      <c r="C26" s="7" t="str">
        <f>INDEX(Узлы!$B$2:$B$59,MATCH(B26,Узлы!$A$2:$A$59,0))</f>
        <v>Стеклохолст 40 г/м² на клей (под покраску и Marmorino)</v>
      </c>
      <c r="D26" s="7" t="str">
        <f>INDEX(Узлы!$C$2:$C$59,MATCH(B26,Узлы!$A$2:$A$59,0))</f>
        <v>м²</v>
      </c>
      <c r="E26" s="8">
        <f>Объёмы!$B$22</f>
        <v>111.0</v>
      </c>
      <c r="F26" s="8">
        <f>INDEX(Узлы!$G$2:$G$59,MATCH(B26,Узлы!$A$2:$A$59,0))</f>
        <v>9.0</v>
      </c>
      <c r="G26" s="8">
        <f>INDEX(Узлы!$E$2:$E$59,MATCH(B26,Узлы!$A$2:$A$59,0))</f>
        <v>3.2</v>
      </c>
      <c r="H26" s="9">
        <f>E26*F26</f>
        <v>999.0</v>
      </c>
      <c r="I26" s="9">
        <f>E26*G26</f>
        <v>355.2</v>
      </c>
      <c r="J26" s="9">
        <f>H26+I26</f>
        <v>1354.2</v>
      </c>
      <c r="K26" s="10" t="inlineStr">
        <is>
          <t>холст под покраску и Marmorino</t>
        </is>
      </c>
    </row>
    <row r="27">
      <c r="A27" s="6" t="n">
        <v>15</v>
      </c>
      <c r="B27" s="6" t="inlineStr">
        <is>
          <t>M15</t>
        </is>
      </c>
      <c r="C27" s="7" t="str">
        <f>INDEX(Узлы!$B$2:$B$59,MATCH(B27,Узлы!$A$2:$A$59,0))</f>
        <v>Шпаклёвка Q2 под обои и фотообои</v>
      </c>
      <c r="D27" s="7" t="str">
        <f>INDEX(Узлы!$C$2:$C$59,MATCH(B27,Узлы!$A$2:$A$59,0))</f>
        <v>м²</v>
      </c>
      <c r="E27" s="8">
        <f>Объёмы!$B$23</f>
        <v>40.95</v>
      </c>
      <c r="F27" s="8">
        <f>INDEX(Узлы!$G$2:$G$59,MATCH(B27,Узлы!$A$2:$A$59,0))</f>
        <v>14.0</v>
      </c>
      <c r="G27" s="8">
        <f>INDEX(Узлы!$E$2:$E$59,MATCH(B27,Узлы!$A$2:$A$59,0))</f>
        <v>3.0</v>
      </c>
      <c r="H27" s="9">
        <f>E27*F27</f>
        <v>573.3</v>
      </c>
      <c r="I27" s="9">
        <f>E27*G27</f>
        <v>122.85</v>
      </c>
      <c r="J27" s="9">
        <f>H27+I27</f>
        <v>696.15</v>
      </c>
      <c r="K27" s="10" t="inlineStr">
        <is>
          <t>ОБ-1 + ФО</t>
        </is>
      </c>
    </row>
    <row r="28">
      <c r="A28" s="6" t="n">
        <v>16</v>
      </c>
      <c r="B28" s="6" t="inlineStr">
        <is>
          <t>M16</t>
        </is>
      </c>
      <c r="C28" s="7" t="str">
        <f>INDEX(Узлы!$B$2:$B$59,MATCH(B28,Узлы!$A$2:$A$59,0))</f>
        <v>Подготовка стен санузла под микроцемент (цементная шпаклёвка Q3 + грунт)</v>
      </c>
      <c r="D28" s="7" t="str">
        <f>INDEX(Узлы!$C$2:$C$59,MATCH(B28,Узлы!$A$2:$A$59,0))</f>
        <v>м²</v>
      </c>
      <c r="E28" s="8">
        <f>Объёмы!$B$21</f>
        <v>18.0</v>
      </c>
      <c r="F28" s="8">
        <f>INDEX(Узлы!$G$2:$G$59,MATCH(B28,Узлы!$A$2:$A$59,0))</f>
        <v>30.0</v>
      </c>
      <c r="G28" s="8">
        <f>INDEX(Узлы!$E$2:$E$59,MATCH(B28,Узлы!$A$2:$A$59,0))</f>
        <v>4.5</v>
      </c>
      <c r="H28" s="9">
        <f>E28*F28</f>
        <v>540.0</v>
      </c>
      <c r="I28" s="9">
        <f>E28*G28</f>
        <v>81.0</v>
      </c>
      <c r="J28" s="9">
        <f>H28+I28</f>
        <v>621.0</v>
      </c>
      <c r="K28" s="10" t="inlineStr">
        <is>
          <t>цементная шпаклёвка в санузле</t>
        </is>
      </c>
    </row>
    <row r="29">
      <c r="C29" s="12" t="inlineStr">
        <is>
          <t>Итого по разделу</t>
        </is>
      </c>
      <c r="H29" s="13">
        <f>SUM(H23:H28)</f>
        <v>6991.3</v>
      </c>
      <c r="I29" s="13">
        <f>SUM(I23:I28)</f>
        <v>1948.625</v>
      </c>
      <c r="J29" s="13">
        <f>SUM(J23:J28)</f>
        <v>8939.925</v>
      </c>
    </row>
    <row r="31">
      <c r="A31" s="4" t="n"/>
      <c r="B31" s="4" t="n"/>
      <c r="C31" s="5" t="inlineStr">
        <is>
          <t>4. Полы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6" t="n">
        <v>17</v>
      </c>
      <c r="B32" s="6" t="inlineStr">
        <is>
          <t>M17</t>
        </is>
      </c>
      <c r="C32" s="7" t="str">
        <f>INDEX(Узлы!$B$2:$B$59,MATCH(B32,Узлы!$A$2:$A$59,0))</f>
        <v>Подготовка существующей стяжки: шлифовка, пылесос, ремонт трещин, CM-тест</v>
      </c>
      <c r="D32" s="7" t="str">
        <f>INDEX(Узлы!$C$2:$C$59,MATCH(B32,Узлы!$A$2:$A$59,0))</f>
        <v>м²</v>
      </c>
      <c r="E32" s="8">
        <f>Объёмы!$B$26</f>
        <v>49.0</v>
      </c>
      <c r="F32" s="8">
        <f>INDEX(Узлы!$G$2:$G$59,MATCH(B32,Узлы!$A$2:$A$59,0))</f>
        <v>4.0</v>
      </c>
      <c r="G32" s="8">
        <f>INDEX(Узлы!$E$2:$E$59,MATCH(B32,Узлы!$A$2:$A$59,0))</f>
        <v>0.5</v>
      </c>
      <c r="H32" s="9">
        <f>E32*F32</f>
        <v>196.0</v>
      </c>
      <c r="I32" s="9">
        <f>E32*G32</f>
        <v>24.5</v>
      </c>
      <c r="J32" s="9">
        <f>H32+I32</f>
        <v>220.5</v>
      </c>
      <c r="K32" s="10" t="inlineStr">
        <is>
          <t>протокол CM ≤ 2 % и ровности ≤ 2 мм/2 м — условие гарантии</t>
        </is>
      </c>
    </row>
    <row r="33">
      <c r="A33" s="6" t="n">
        <v>18</v>
      </c>
      <c r="B33" s="6" t="inlineStr">
        <is>
          <t>M18</t>
        </is>
      </c>
      <c r="C33" s="7" t="str">
        <f>INDEX(Узлы!$B$2:$B$59,MATCH(B33,Узлы!$A$2:$A$59,0))</f>
        <v>Самонивелир 10 мм с грунтом ×2 и демпфером (по проекту, лист 14 узел V1)</v>
      </c>
      <c r="D33" s="7" t="str">
        <f>INDEX(Узлы!$C$2:$C$59,MATCH(B33,Узлы!$A$2:$A$59,0))</f>
        <v>м²</v>
      </c>
      <c r="E33" s="8">
        <f>Объёмы!$B$26</f>
        <v>49.0</v>
      </c>
      <c r="F33" s="8">
        <f>INDEX(Узлы!$G$2:$G$59,MATCH(B33,Узлы!$A$2:$A$59,0))</f>
        <v>18.0</v>
      </c>
      <c r="G33" s="8">
        <f>INDEX(Узлы!$E$2:$E$59,MATCH(B33,Узлы!$A$2:$A$59,0))</f>
        <v>15.6</v>
      </c>
      <c r="H33" s="9">
        <f>E33*F33</f>
        <v>882.0</v>
      </c>
      <c r="I33" s="9">
        <f>E33*G33</f>
        <v>764.4</v>
      </c>
      <c r="J33" s="9">
        <f>H33+I33</f>
        <v>1646.4</v>
      </c>
      <c r="K33" s="10" t="inlineStr">
        <is>
          <t>лист 14: самонивелир 10 мм по проекту</t>
        </is>
      </c>
    </row>
    <row r="34">
      <c r="A34" s="6" t="n">
        <v>19</v>
      </c>
      <c r="B34" s="6" t="inlineStr">
        <is>
          <t>M19</t>
        </is>
      </c>
      <c r="C34" s="7" t="str">
        <f>INDEX(Узлы!$B$2:$B$59,MATCH(B34,Узлы!$A$2:$A$59,0))</f>
        <v>Клеевой винил Quick-Step Pristine, палуба (запас 7 %)</v>
      </c>
      <c r="D34" s="7" t="str">
        <f>INDEX(Узлы!$C$2:$C$59,MATCH(B34,Узлы!$A$2:$A$59,0))</f>
        <v>м²</v>
      </c>
      <c r="E34" s="8">
        <f>Объёмы!$B$25</f>
        <v>49.0</v>
      </c>
      <c r="F34" s="8">
        <f>INDEX(Узлы!$G$2:$G$59,MATCH(B34,Узлы!$A$2:$A$59,0))</f>
        <v>30.0</v>
      </c>
      <c r="G34" s="8">
        <f>INDEX(Узлы!$E$2:$E$59,MATCH(B34,Узлы!$A$2:$A$59,0))</f>
        <v>62.0</v>
      </c>
      <c r="H34" s="9">
        <f>E34*F34</f>
        <v>1470.0</v>
      </c>
      <c r="I34" s="9">
        <f>E34*G34</f>
        <v>3038.0</v>
      </c>
      <c r="J34" s="9">
        <f>H34+I34</f>
        <v>4508.0</v>
      </c>
      <c r="K34" s="10" t="inlineStr">
        <is>
          <t>лист 14; сушка самонивелира 7 сут</t>
        </is>
      </c>
    </row>
    <row r="35">
      <c r="A35" s="6" t="n">
        <v>20</v>
      </c>
      <c r="B35" s="6" t="inlineStr">
        <is>
          <t>M20</t>
        </is>
      </c>
      <c r="C35" s="7" t="str">
        <f>INDEX(Узлы!$B$2:$B$59,MATCH(B35,Узлы!$A$2:$A$59,0))</f>
        <v>Керамогранит на пол санузла Argenta Westone 120×60</v>
      </c>
      <c r="D35" s="7" t="str">
        <f>INDEX(Узлы!$C$2:$C$59,MATCH(B35,Узлы!$A$2:$A$59,0))</f>
        <v>м²</v>
      </c>
      <c r="E35" s="8">
        <f>Объёмы!$B$27</f>
        <v>4.78</v>
      </c>
      <c r="F35" s="8">
        <f>INDEX(Узлы!$G$2:$G$59,MATCH(B35,Узлы!$A$2:$A$59,0))</f>
        <v>65.0</v>
      </c>
      <c r="G35" s="8">
        <f>INDEX(Узлы!$E$2:$E$59,MATCH(B35,Узлы!$A$2:$A$59,0))</f>
        <v>160.0</v>
      </c>
      <c r="H35" s="9">
        <f>E35*F35</f>
        <v>310.7</v>
      </c>
      <c r="I35" s="9">
        <f>E35*G35</f>
        <v>764.8</v>
      </c>
      <c r="J35" s="9">
        <f>H35+I35</f>
        <v>1075.5</v>
      </c>
      <c r="K35" s="10" t="inlineStr">
        <is>
          <t>лист 14</t>
        </is>
      </c>
    </row>
    <row r="36">
      <c r="A36" s="6" t="n">
        <v>21</v>
      </c>
      <c r="B36" s="6" t="inlineStr">
        <is>
          <t>M21</t>
        </is>
      </c>
      <c r="C36" s="7" t="str">
        <f>INDEX(Узлы!$B$2:$B$59,MATCH(B36,Узлы!$A$2:$A$59,0))</f>
        <v>Керамогранит у входа Ponza Lilly 200×200 (50 шт)</v>
      </c>
      <c r="D36" s="7" t="str">
        <f>INDEX(Узлы!$C$2:$C$59,MATCH(B36,Узлы!$A$2:$A$59,0))</f>
        <v>м²</v>
      </c>
      <c r="E36" s="8">
        <f>Объёмы!$B$28</f>
        <v>2.0</v>
      </c>
      <c r="F36" s="8">
        <f>INDEX(Узлы!$G$2:$G$59,MATCH(B36,Узлы!$A$2:$A$59,0))</f>
        <v>45.0</v>
      </c>
      <c r="G36" s="8">
        <f>INDEX(Узлы!$E$2:$E$59,MATCH(B36,Узлы!$A$2:$A$59,0))</f>
        <v>71.0</v>
      </c>
      <c r="H36" s="9">
        <f>E36*F36</f>
        <v>90.0</v>
      </c>
      <c r="I36" s="9">
        <f>E36*G36</f>
        <v>142.0</v>
      </c>
      <c r="J36" s="9">
        <f>H36+I36</f>
        <v>232.0</v>
      </c>
      <c r="K36" s="10" t="inlineStr">
        <is>
          <t>лист 14</t>
        </is>
      </c>
    </row>
    <row r="37">
      <c r="A37" s="6" t="n">
        <v>22</v>
      </c>
      <c r="B37" s="6" t="inlineStr">
        <is>
          <t>M22</t>
        </is>
      </c>
      <c r="C37" s="7" t="str">
        <f>INDEX(Узлы!$B$2:$B$59,MATCH(B37,Узлы!$A$2:$A$59,0))</f>
        <v>Гидроизоляция санузла обмазочная 2 слоя (пол + стены 300 мм + душевая зона)</v>
      </c>
      <c r="D37" s="7" t="str">
        <f>INDEX(Узлы!$C$2:$C$59,MATCH(B37,Узлы!$A$2:$A$59,0))</f>
        <v>м²</v>
      </c>
      <c r="E37" s="8">
        <f>Объёмы!$B$29</f>
        <v>13.08</v>
      </c>
      <c r="F37" s="8">
        <f>INDEX(Узлы!$G$2:$G$59,MATCH(B37,Узлы!$A$2:$A$59,0))</f>
        <v>10.0</v>
      </c>
      <c r="G37" s="8">
        <f>INDEX(Узлы!$E$2:$E$59,MATCH(B37,Узлы!$A$2:$A$59,0))</f>
        <v>8.5</v>
      </c>
      <c r="H37" s="9">
        <f>E37*F37</f>
        <v>130.8</v>
      </c>
      <c r="I37" s="9">
        <f>E37*G37</f>
        <v>111.18</v>
      </c>
      <c r="J37" s="9">
        <f>H37+I37</f>
        <v>241.98</v>
      </c>
      <c r="K37" s="10" t="inlineStr">
        <is>
          <t>СН 5.09.01: заход на стены ≥ 300 мм</t>
        </is>
      </c>
    </row>
    <row r="38">
      <c r="A38" s="6" t="n">
        <v>23</v>
      </c>
      <c r="B38" s="6" t="inlineStr">
        <is>
          <t>M23</t>
        </is>
      </c>
      <c r="C38" s="7" t="str">
        <f>INDEX(Узлы!$B$2:$B$59,MATCH(B38,Узлы!$A$2:$A$59,0))</f>
        <v>Тёплый пол электрический Nexans (кабель в санузле и прихожей)</v>
      </c>
      <c r="D38" s="7" t="str">
        <f>INDEX(Узлы!$C$2:$C$59,MATCH(B38,Узлы!$A$2:$A$59,0))</f>
        <v>м²</v>
      </c>
      <c r="E38" s="8">
        <f>Объёмы!$B$30</f>
        <v>2.77</v>
      </c>
      <c r="F38" s="8">
        <f>INDEX(Узлы!$G$2:$G$59,MATCH(B38,Узлы!$A$2:$A$59,0))</f>
        <v>44.0</v>
      </c>
      <c r="G38" s="8">
        <f>INDEX(Узлы!$E$2:$E$59,MATCH(B38,Узлы!$A$2:$A$59,0))</f>
        <v>90.0</v>
      </c>
      <c r="H38" s="9">
        <f>E38*F38</f>
        <v>121.88</v>
      </c>
      <c r="I38" s="9">
        <f>E38*G38</f>
        <v>249.3</v>
      </c>
      <c r="J38" s="9">
        <f>H38+I38</f>
        <v>371.18</v>
      </c>
      <c r="K38" s="10" t="inlineStr">
        <is>
          <t>лист 13 без балкона</t>
        </is>
      </c>
    </row>
    <row r="39">
      <c r="A39" s="6" t="n">
        <v>24</v>
      </c>
      <c r="B39" s="6" t="inlineStr">
        <is>
          <t>M24</t>
        </is>
      </c>
      <c r="C39" s="7" t="str">
        <f>INDEX(Узлы!$B$2:$B$59,MATCH(B39,Узлы!$A$2:$A$59,0))</f>
        <v>Терморегулятор</v>
      </c>
      <c r="D39" s="7" t="str">
        <f>INDEX(Узлы!$C$2:$C$59,MATCH(B39,Узлы!$A$2:$A$59,0))</f>
        <v>шт</v>
      </c>
      <c r="E39" s="11" t="n">
        <v>2</v>
      </c>
      <c r="F39" s="8">
        <f>INDEX(Узлы!$G$2:$G$59,MATCH(B39,Узлы!$A$2:$A$59,0))</f>
        <v>50.0</v>
      </c>
      <c r="G39" s="8">
        <f>INDEX(Узлы!$E$2:$E$59,MATCH(B39,Узлы!$A$2:$A$59,0))</f>
        <v>72.0</v>
      </c>
      <c r="H39" s="9">
        <f>E39*F39</f>
        <v>100.0</v>
      </c>
      <c r="I39" s="9">
        <f>E39*G39</f>
        <v>144.0</v>
      </c>
      <c r="J39" s="9">
        <f>H39+I39</f>
        <v>244.0</v>
      </c>
      <c r="K39" s="10" t="inlineStr">
        <is>
          <t>лист 13: 3 шт, балконный исключён</t>
        </is>
      </c>
    </row>
    <row r="40">
      <c r="A40" s="6" t="n">
        <v>25</v>
      </c>
      <c r="B40" s="6" t="inlineStr">
        <is>
          <t>M25</t>
        </is>
      </c>
      <c r="C40" s="7" t="str">
        <f>INDEX(Узлы!$B$2:$B$59,MATCH(B40,Узлы!$A$2:$A$59,0))</f>
        <v>Плинтус МДФ OHZ HM-1540</v>
      </c>
      <c r="D40" s="7" t="str">
        <f>INDEX(Узлы!$C$2:$C$59,MATCH(B40,Узлы!$A$2:$A$59,0))</f>
        <v>м.п.</v>
      </c>
      <c r="E40" s="8">
        <f>Объёмы!$B$31</f>
        <v>35.19</v>
      </c>
      <c r="F40" s="8">
        <f>INDEX(Узлы!$G$2:$G$59,MATCH(B40,Узлы!$A$2:$A$59,0))</f>
        <v>19.0</v>
      </c>
      <c r="G40" s="8">
        <f>INDEX(Узлы!$E$2:$E$59,MATCH(B40,Узлы!$A$2:$A$59,0))</f>
        <v>4.5</v>
      </c>
      <c r="H40" s="9">
        <f>E40*F40</f>
        <v>668.61</v>
      </c>
      <c r="I40" s="9">
        <f>E40*G40</f>
        <v>158.355</v>
      </c>
      <c r="J40" s="9">
        <f>H40+I40</f>
        <v>826.965</v>
      </c>
      <c r="K40" s="10" t="inlineStr">
        <is>
          <t>лист 26</t>
        </is>
      </c>
    </row>
    <row r="41">
      <c r="A41" s="6" t="n">
        <v>26</v>
      </c>
      <c r="B41" s="6" t="inlineStr">
        <is>
          <t>M26</t>
        </is>
      </c>
      <c r="C41" s="7" t="str">
        <f>INDEX(Узлы!$B$2:$B$59,MATCH(B41,Узлы!$A$2:$A$59,0))</f>
        <v>Порожки / стык LVT–керамогранит через герметик</v>
      </c>
      <c r="D41" s="7" t="str">
        <f>INDEX(Узлы!$C$2:$C$59,MATCH(B41,Узлы!$A$2:$A$59,0))</f>
        <v>шт</v>
      </c>
      <c r="E41" s="11" t="n">
        <v>5</v>
      </c>
      <c r="F41" s="8">
        <f>INDEX(Узлы!$G$2:$G$59,MATCH(B41,Узлы!$A$2:$A$59,0))</f>
        <v>25.0</v>
      </c>
      <c r="G41" s="8">
        <f>INDEX(Узлы!$E$2:$E$59,MATCH(B41,Узлы!$A$2:$A$59,0))</f>
        <v>28.0</v>
      </c>
      <c r="H41" s="9">
        <f>E41*F41</f>
        <v>125.0</v>
      </c>
      <c r="I41" s="9">
        <f>E41*G41</f>
        <v>140.0</v>
      </c>
      <c r="J41" s="9">
        <f>H41+I41</f>
        <v>265.0</v>
      </c>
      <c r="K41" s="10" t="inlineStr">
        <is>
          <t>стыки LVT/керамогранит: вход, санузел, балкон</t>
        </is>
      </c>
    </row>
    <row r="42">
      <c r="C42" s="12" t="inlineStr">
        <is>
          <t>Итого по разделу</t>
        </is>
      </c>
      <c r="H42" s="13">
        <f>SUM(H32:H41)</f>
        <v>4094.99</v>
      </c>
      <c r="I42" s="13">
        <f>SUM(I32:I41)</f>
        <v>5536.535</v>
      </c>
      <c r="J42" s="13">
        <f>SUM(J32:J41)</f>
        <v>9631.525</v>
      </c>
    </row>
    <row r="44">
      <c r="A44" s="4" t="n"/>
      <c r="B44" s="4" t="n"/>
      <c r="C44" s="5" t="inlineStr">
        <is>
          <t>5. Потолки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6" t="n">
        <v>27</v>
      </c>
      <c r="B45" s="6" t="inlineStr">
        <is>
          <t>M27</t>
        </is>
      </c>
      <c r="C45" s="7" t="str">
        <f>INDEX(Узлы!$B$2:$B$59,MATCH(B45,Узлы!$A$2:$A$59,0))</f>
        <v>Натяжной потолок ПВХ матовый, с материалом и монтажом</v>
      </c>
      <c r="D45" s="7" t="str">
        <f>INDEX(Узлы!$C$2:$C$59,MATCH(B45,Узлы!$A$2:$A$59,0))</f>
        <v>м²</v>
      </c>
      <c r="E45" s="8">
        <f>Объёмы!$B$32</f>
        <v>45.0</v>
      </c>
      <c r="F45" s="8">
        <f>INDEX(Узлы!$G$2:$G$59,MATCH(B45,Узлы!$A$2:$A$59,0))</f>
        <v>28.0</v>
      </c>
      <c r="G45" s="8">
        <f>INDEX(Узлы!$E$2:$E$59,MATCH(B45,Узлы!$A$2:$A$59,0))</f>
        <v>0.0</v>
      </c>
      <c r="H45" s="9">
        <f>E45*F45</f>
        <v>1260.0</v>
      </c>
      <c r="I45" s="9">
        <f>E45*G45</f>
        <v>0.0</v>
      </c>
      <c r="J45" s="9">
        <f>H45+I45</f>
        <v>1260.0</v>
      </c>
      <c r="K45" s="10" t="inlineStr">
        <is>
          <t>лист 17, с материалом</t>
        </is>
      </c>
    </row>
    <row r="46">
      <c r="A46" s="6" t="n">
        <v>28</v>
      </c>
      <c r="B46" s="6" t="inlineStr">
        <is>
          <t>M28</t>
        </is>
      </c>
      <c r="C46" s="7" t="str">
        <f>INDEX(Узлы!$B$2:$B$59,MATCH(B46,Узлы!$A$2:$A$59,0))</f>
        <v>Теневой профиль EuroLumFer 02 по периметру</v>
      </c>
      <c r="D46" s="7" t="str">
        <f>INDEX(Узлы!$C$2:$C$59,MATCH(B46,Узлы!$A$2:$A$59,0))</f>
        <v>м.п.</v>
      </c>
      <c r="E46" s="8">
        <f>Объёмы!$B$33</f>
        <v>58.0</v>
      </c>
      <c r="F46" s="8">
        <f>INDEX(Узлы!$G$2:$G$59,MATCH(B46,Узлы!$A$2:$A$59,0))</f>
        <v>21.0</v>
      </c>
      <c r="G46" s="8">
        <f>INDEX(Узлы!$E$2:$E$59,MATCH(B46,Узлы!$A$2:$A$59,0))</f>
        <v>0.0</v>
      </c>
      <c r="H46" s="9">
        <f>E46*F46</f>
        <v>1218.0</v>
      </c>
      <c r="I46" s="9">
        <f>E46*G46</f>
        <v>0.0</v>
      </c>
      <c r="J46" s="9">
        <f>H46+I46</f>
        <v>1218.0</v>
      </c>
      <c r="K46" s="10" t="inlineStr">
        <is>
          <t>EuroLumFer 02, оценка длины</t>
        </is>
      </c>
    </row>
    <row r="47">
      <c r="A47" s="6" t="n">
        <v>29</v>
      </c>
      <c r="B47" s="6" t="inlineStr">
        <is>
          <t>M29</t>
        </is>
      </c>
      <c r="C47" s="7" t="str">
        <f>INDEX(Узлы!$B$2:$B$59,MATCH(B47,Узлы!$A$2:$A$59,0))</f>
        <v>Карнизная ниша LumFer SK Magnum / Levium / Volat</v>
      </c>
      <c r="D47" s="7" t="str">
        <f>INDEX(Узлы!$C$2:$C$59,MATCH(B47,Узлы!$A$2:$A$59,0))</f>
        <v>м.п.</v>
      </c>
      <c r="E47" s="8">
        <f>Объёмы!$B$34</f>
        <v>9.0</v>
      </c>
      <c r="F47" s="8">
        <f>INDEX(Узлы!$G$2:$G$59,MATCH(B47,Узлы!$A$2:$A$59,0))</f>
        <v>40.0</v>
      </c>
      <c r="G47" s="8">
        <f>INDEX(Узлы!$E$2:$E$59,MATCH(B47,Узлы!$A$2:$A$59,0))</f>
        <v>35.0</v>
      </c>
      <c r="H47" s="9">
        <f>E47*F47</f>
        <v>360.0</v>
      </c>
      <c r="I47" s="9">
        <f>E47*G47</f>
        <v>315.0</v>
      </c>
      <c r="J47" s="9">
        <f>H47+I47</f>
        <v>675.0</v>
      </c>
      <c r="K47" s="10" t="inlineStr">
        <is>
          <t>лист 17</t>
        </is>
      </c>
    </row>
    <row r="48">
      <c r="A48" s="6" t="n">
        <v>30</v>
      </c>
      <c r="B48" s="6" t="inlineStr">
        <is>
          <t>M30</t>
        </is>
      </c>
      <c r="C48" s="7" t="str">
        <f>INDEX(Узлы!$B$2:$B$59,MATCH(B48,Узлы!$A$2:$A$59,0))</f>
        <v>Закладные под светильники и вент. решётку</v>
      </c>
      <c r="D48" s="7" t="str">
        <f>INDEX(Узлы!$C$2:$C$59,MATCH(B48,Узлы!$A$2:$A$59,0))</f>
        <v>шт</v>
      </c>
      <c r="E48" s="11" t="n">
        <v>55</v>
      </c>
      <c r="F48" s="8">
        <f>INDEX(Узлы!$G$2:$G$59,MATCH(B48,Узлы!$A$2:$A$59,0))</f>
        <v>16.0</v>
      </c>
      <c r="G48" s="8">
        <f>INDEX(Узлы!$E$2:$E$59,MATCH(B48,Узлы!$A$2:$A$59,0))</f>
        <v>5.0</v>
      </c>
      <c r="H48" s="9">
        <f>E48*F48</f>
        <v>880.0</v>
      </c>
      <c r="I48" s="9">
        <f>E48*G48</f>
        <v>275.0</v>
      </c>
      <c r="J48" s="9">
        <f>H48+I48</f>
        <v>1155.0</v>
      </c>
      <c r="K48" s="10" t="inlineStr">
        <is>
          <t>закладные под 44 спота, подвесы, вент. решётку</t>
        </is>
      </c>
    </row>
    <row r="49">
      <c r="C49" s="12" t="inlineStr">
        <is>
          <t>Итого по разделу</t>
        </is>
      </c>
      <c r="H49" s="13">
        <f>SUM(H45:H48)</f>
        <v>3718.0</v>
      </c>
      <c r="I49" s="13">
        <f>SUM(I45:I48)</f>
        <v>590.0</v>
      </c>
      <c r="J49" s="13">
        <f>SUM(J45:J48)</f>
        <v>4308.0</v>
      </c>
    </row>
    <row r="51">
      <c r="A51" s="4" t="n"/>
      <c r="B51" s="4" t="n"/>
      <c r="C51" s="5" t="inlineStr">
        <is>
          <t>6. Чистовая отделка стен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6" t="n">
        <v>31</v>
      </c>
      <c r="B52" s="6" t="inlineStr">
        <is>
          <t>M31</t>
        </is>
      </c>
      <c r="C52" s="7" t="str">
        <f>INDEX(Узлы!$B$2:$B$59,MATCH(B52,Узлы!$A$2:$A$59,0))</f>
        <v>Окраска стен MAV Flagman 35, 2 слоя + грунт (УСЛ-1)</v>
      </c>
      <c r="D52" s="7" t="str">
        <f>INDEX(Узлы!$C$2:$C$59,MATCH(B52,Узлы!$A$2:$A$59,0))</f>
        <v>м²</v>
      </c>
      <c r="E52" s="8">
        <f>Объёмы!$B$17</f>
        <v>50.0</v>
      </c>
      <c r="F52" s="8">
        <f>INDEX(Узлы!$G$2:$G$59,MATCH(B52,Узлы!$A$2:$A$59,0))</f>
        <v>10.0</v>
      </c>
      <c r="G52" s="8">
        <f>INDEX(Узлы!$E$2:$E$59,MATCH(B52,Узлы!$A$2:$A$59,0))</f>
        <v>6.0</v>
      </c>
      <c r="H52" s="9">
        <f>E52*F52</f>
        <v>500.0</v>
      </c>
      <c r="I52" s="9">
        <f>E52*G52</f>
        <v>300.0</v>
      </c>
      <c r="J52" s="9">
        <f>H52+I52</f>
        <v>800.0</v>
      </c>
      <c r="K52" s="10" t="inlineStr">
        <is>
          <t>лист 12</t>
        </is>
      </c>
    </row>
    <row r="53">
      <c r="A53" s="6" t="n">
        <v>32</v>
      </c>
      <c r="B53" s="6" t="inlineStr">
        <is>
          <t>M32</t>
        </is>
      </c>
      <c r="C53" s="7" t="str">
        <f>INDEX(Узлы!$B$2:$B$59,MATCH(B53,Узлы!$A$2:$A$59,0))</f>
        <v>Декоративная штукатурка Marmorino Naturale Fine (ДК-1), 2–3 слоя с железнением</v>
      </c>
      <c r="D53" s="7" t="str">
        <f>INDEX(Узлы!$C$2:$C$59,MATCH(B53,Узлы!$A$2:$A$59,0))</f>
        <v>м²</v>
      </c>
      <c r="E53" s="8">
        <f>Объёмы!$B$16</f>
        <v>61.0</v>
      </c>
      <c r="F53" s="8">
        <f>INDEX(Узлы!$G$2:$G$59,MATCH(B53,Узлы!$A$2:$A$59,0))</f>
        <v>70.0</v>
      </c>
      <c r="G53" s="8">
        <f>INDEX(Узлы!$E$2:$E$59,MATCH(B53,Узлы!$A$2:$A$59,0))</f>
        <v>21.0</v>
      </c>
      <c r="H53" s="9">
        <f>E53*F53</f>
        <v>4270.0</v>
      </c>
      <c r="I53" s="9">
        <f>E53*G53</f>
        <v>1281.0</v>
      </c>
      <c r="J53" s="9">
        <f>H53+I53</f>
        <v>5551.0</v>
      </c>
      <c r="K53" s="10" t="inlineStr">
        <is>
          <t>лист 12; ставка оценочная, запросить у декоратора</t>
        </is>
      </c>
    </row>
    <row r="54">
      <c r="A54" s="6" t="n">
        <v>33</v>
      </c>
      <c r="B54" s="6" t="inlineStr">
        <is>
          <t>M33</t>
        </is>
      </c>
      <c r="C54" s="7" t="str">
        <f>INDEX(Узлы!$B$2:$B$59,MATCH(B54,Узлы!$A$2:$A$59,0))</f>
        <v>Обои Grandeco Keen KE1006 (ОБ-1)</v>
      </c>
      <c r="D54" s="7" t="str">
        <f>INDEX(Узлы!$C$2:$C$59,MATCH(B54,Узлы!$A$2:$A$59,0))</f>
        <v>м²</v>
      </c>
      <c r="E54" s="8">
        <f>Объёмы!$B$18</f>
        <v>23.5</v>
      </c>
      <c r="F54" s="8">
        <f>INDEX(Узлы!$G$2:$G$59,MATCH(B54,Узлы!$A$2:$A$59,0))</f>
        <v>10.0</v>
      </c>
      <c r="G54" s="8">
        <f>INDEX(Узлы!$E$2:$E$59,MATCH(B54,Узлы!$A$2:$A$59,0))</f>
        <v>21.0</v>
      </c>
      <c r="H54" s="9">
        <f>E54*F54</f>
        <v>235.0</v>
      </c>
      <c r="I54" s="9">
        <f>E54*G54</f>
        <v>493.5</v>
      </c>
      <c r="J54" s="9">
        <f>H54+I54</f>
        <v>728.5</v>
      </c>
      <c r="K54" s="10" t="inlineStr">
        <is>
          <t>лист 12</t>
        </is>
      </c>
    </row>
    <row r="55">
      <c r="A55" s="6" t="n">
        <v>34</v>
      </c>
      <c r="B55" s="6" t="inlineStr">
        <is>
          <t>M34</t>
        </is>
      </c>
      <c r="C55" s="7" t="str">
        <f>INDEX(Узлы!$B$2:$B$59,MATCH(B55,Узлы!$A$2:$A$59,0))</f>
        <v>Фотообои Vinni.by (ФО-1, ФО-2)</v>
      </c>
      <c r="D55" s="7" t="str">
        <f>INDEX(Узлы!$C$2:$C$59,MATCH(B55,Узлы!$A$2:$A$59,0))</f>
        <v>м²</v>
      </c>
      <c r="E55" s="8">
        <f>Объёмы!$B$19</f>
        <v>17.45</v>
      </c>
      <c r="F55" s="8">
        <f>INDEX(Узлы!$G$2:$G$59,MATCH(B55,Узлы!$A$2:$A$59,0))</f>
        <v>15.0</v>
      </c>
      <c r="G55" s="8">
        <f>INDEX(Узлы!$E$2:$E$59,MATCH(B55,Узлы!$A$2:$A$59,0))</f>
        <v>45.0</v>
      </c>
      <c r="H55" s="9">
        <f>E55*F55</f>
        <v>261.75</v>
      </c>
      <c r="I55" s="9">
        <f>E55*G55</f>
        <v>785.25</v>
      </c>
      <c r="J55" s="9">
        <f>H55+I55</f>
        <v>1047.0</v>
      </c>
      <c r="K55" s="10" t="inlineStr">
        <is>
          <t>лист 12</t>
        </is>
      </c>
    </row>
    <row r="56">
      <c r="A56" s="6" t="n">
        <v>35</v>
      </c>
      <c r="B56" s="6" t="inlineStr">
        <is>
          <t>M35</t>
        </is>
      </c>
      <c r="C56" s="7" t="str">
        <f>INDEX(Узлы!$B$2:$B$59,MATCH(B56,Узлы!$A$2:$A$59,0))</f>
        <v>Плитка Tribeca Sage Green 6×24,6 на стены (PL-1)</v>
      </c>
      <c r="D56" s="7" t="str">
        <f>INDEX(Узлы!$C$2:$C$59,MATCH(B56,Узлы!$A$2:$A$59,0))</f>
        <v>м²</v>
      </c>
      <c r="E56" s="8">
        <f>Объёмы!$B$20</f>
        <v>6.0</v>
      </c>
      <c r="F56" s="8">
        <f>INDEX(Узлы!$G$2:$G$59,MATCH(B56,Узлы!$A$2:$A$59,0))</f>
        <v>80.0</v>
      </c>
      <c r="G56" s="8">
        <f>INDEX(Узлы!$E$2:$E$59,MATCH(B56,Узлы!$A$2:$A$59,0))</f>
        <v>140.0</v>
      </c>
      <c r="H56" s="9">
        <f>E56*F56</f>
        <v>480.0</v>
      </c>
      <c r="I56" s="9">
        <f>E56*G56</f>
        <v>840.0</v>
      </c>
      <c r="J56" s="9">
        <f>H56+I56</f>
        <v>1320.0</v>
      </c>
      <c r="K56" s="10" t="inlineStr">
        <is>
          <t>лист 12, запил углов 45°</t>
        </is>
      </c>
    </row>
    <row r="57">
      <c r="A57" s="6" t="n">
        <v>36</v>
      </c>
      <c r="B57" s="6" t="inlineStr">
        <is>
          <t>M36</t>
        </is>
      </c>
      <c r="C57" s="7" t="str">
        <f>INDEX(Узлы!$B$2:$B$59,MATCH(B57,Узлы!$A$2:$A$59,0))</f>
        <v>Молдинги на стенах</v>
      </c>
      <c r="D57" s="7" t="str">
        <f>INDEX(Узлы!$C$2:$C$59,MATCH(B57,Узлы!$A$2:$A$59,0))</f>
        <v>м.п.</v>
      </c>
      <c r="E57" s="8">
        <f>Объёмы!$B$39</f>
        <v>15.0</v>
      </c>
      <c r="F57" s="8">
        <f>INDEX(Узлы!$G$2:$G$59,MATCH(B57,Узлы!$A$2:$A$59,0))</f>
        <v>15.0</v>
      </c>
      <c r="G57" s="8">
        <f>INDEX(Узлы!$E$2:$E$59,MATCH(B57,Узлы!$A$2:$A$59,0))</f>
        <v>12.0</v>
      </c>
      <c r="H57" s="9">
        <f>E57*F57</f>
        <v>225.0</v>
      </c>
      <c r="I57" s="9">
        <f>E57*G57</f>
        <v>180.0</v>
      </c>
      <c r="J57" s="9">
        <f>H57+I57</f>
        <v>405.0</v>
      </c>
      <c r="K57" s="10" t="inlineStr">
        <is>
          <t>лист 27</t>
        </is>
      </c>
    </row>
    <row r="58">
      <c r="A58" s="6" t="n">
        <v>37</v>
      </c>
      <c r="B58" s="6" t="inlineStr">
        <is>
          <t>M37</t>
        </is>
      </c>
      <c r="C58" s="7" t="str">
        <f>INDEX(Узлы!$B$2:$B$59,MATCH(B58,Узлы!$A$2:$A$59,0))</f>
        <v>Микроцемент стены санузла (МКЦ-1) — фикс студии до 20 м², €1 120</v>
      </c>
      <c r="D58" s="7" t="str">
        <f>INDEX(Узлы!$C$2:$C$59,MATCH(B58,Узлы!$A$2:$A$59,0))</f>
        <v>объект</v>
      </c>
      <c r="E58" s="11" t="n">
        <v>1</v>
      </c>
      <c r="F58" s="8">
        <f>INDEX(Узлы!$G$2:$G$59,MATCH(B58,Узлы!$A$2:$A$59,0))</f>
        <v>1689.863</v>
      </c>
      <c r="G58" s="8">
        <f>INDEX(Узлы!$E$2:$E$59,MATCH(B58,Узлы!$A$2:$A$59,0))</f>
        <v>2172.681</v>
      </c>
      <c r="H58" s="9">
        <f>E58*F58</f>
        <v>1689.863</v>
      </c>
      <c r="I58" s="9">
        <f>E58*G58</f>
        <v>2172.681</v>
      </c>
      <c r="J58" s="9">
        <f>H58+I58</f>
        <v>3862.544</v>
      </c>
      <c r="K58" s="10" t="inlineStr">
        <is>
          <t>CLAUDE.md: фикс до 20 м² стен</t>
        </is>
      </c>
    </row>
    <row r="59">
      <c r="A59" s="6" t="n">
        <v>38</v>
      </c>
      <c r="B59" s="6" t="inlineStr">
        <is>
          <t>M38</t>
        </is>
      </c>
      <c r="C59" s="7" t="str">
        <f>INDEX(Узлы!$B$2:$B$59,MATCH(B59,Узлы!$A$2:$A$59,0))</f>
        <v>Расходники микроцемент на объект</v>
      </c>
      <c r="D59" s="7" t="str">
        <f>INDEX(Узлы!$C$2:$C$59,MATCH(B59,Узлы!$A$2:$A$59,0))</f>
        <v>объект</v>
      </c>
      <c r="E59" s="11" t="n">
        <v>1</v>
      </c>
      <c r="F59" s="8">
        <f>INDEX(Узлы!$G$2:$G$59,MATCH(B59,Узлы!$A$2:$A$59,0))</f>
        <v>0.0</v>
      </c>
      <c r="G59" s="8">
        <f>INDEX(Узлы!$E$2:$E$59,MATCH(B59,Узлы!$A$2:$A$59,0))</f>
        <v>275.896</v>
      </c>
      <c r="H59" s="9">
        <f>E59*F59</f>
        <v>0.0</v>
      </c>
      <c r="I59" s="9">
        <f>E59*G59</f>
        <v>275.896</v>
      </c>
      <c r="J59" s="9">
        <f>H59+I59</f>
        <v>275.896</v>
      </c>
      <c r="K59" s="10" t="inlineStr">
        <is>
          <t>CLAUDE.md</t>
        </is>
      </c>
    </row>
    <row r="60">
      <c r="C60" s="12" t="inlineStr">
        <is>
          <t>Итого по разделу</t>
        </is>
      </c>
      <c r="H60" s="13">
        <f>SUM(H52:H59)</f>
        <v>7661.613</v>
      </c>
      <c r="I60" s="13">
        <f>SUM(I52:I59)</f>
        <v>6328.327</v>
      </c>
      <c r="J60" s="13">
        <f>SUM(J52:J59)</f>
        <v>13989.94</v>
      </c>
    </row>
    <row r="62">
      <c r="A62" s="4" t="n"/>
      <c r="B62" s="4" t="n"/>
      <c r="C62" s="5" t="inlineStr">
        <is>
          <t>7. Электрика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6" t="n">
        <v>39</v>
      </c>
      <c r="B63" s="6" t="inlineStr">
        <is>
          <t>M39</t>
        </is>
      </c>
      <c r="C63" s="7" t="str">
        <f>INDEX(Узлы!$B$2:$B$59,MATCH(B63,Узлы!$A$2:$A$59,0))</f>
        <v>Электроточка полная: розетка/выключатель/вывод (штроба + кабель + подрозетник + механизм)</v>
      </c>
      <c r="D63" s="7" t="str">
        <f>INDEX(Узлы!$C$2:$C$59,MATCH(B63,Узлы!$A$2:$A$59,0))</f>
        <v>точка</v>
      </c>
      <c r="E63" s="8">
        <f>Объёмы!$B$35</f>
        <v>101.0</v>
      </c>
      <c r="F63" s="8">
        <f>INDEX(Узлы!$G$2:$G$59,MATCH(B63,Узлы!$A$2:$A$59,0))</f>
        <v>90.0</v>
      </c>
      <c r="G63" s="8">
        <f>INDEX(Узлы!$E$2:$E$59,MATCH(B63,Узлы!$A$2:$A$59,0))</f>
        <v>42.0</v>
      </c>
      <c r="H63" s="9">
        <f>E63*F63</f>
        <v>9090.0</v>
      </c>
      <c r="I63" s="9">
        <f>E63*G63</f>
        <v>4242.0</v>
      </c>
      <c r="J63" s="9">
        <f>H63+I63</f>
        <v>13332.0</v>
      </c>
      <c r="K63" s="10" t="inlineStr">
        <is>
          <t>лист 9, спецификация</t>
        </is>
      </c>
    </row>
    <row r="64">
      <c r="A64" s="6" t="n">
        <v>40</v>
      </c>
      <c r="B64" s="6" t="inlineStr">
        <is>
          <t>M40</t>
        </is>
      </c>
      <c r="C64" s="7" t="str">
        <f>INDEX(Узлы!$B$2:$B$59,MATCH(B64,Узлы!$A$2:$A$59,0))</f>
        <v>Точка света (вывод + подключение светильника)</v>
      </c>
      <c r="D64" s="7" t="str">
        <f>INDEX(Узлы!$C$2:$C$59,MATCH(B64,Узлы!$A$2:$A$59,0))</f>
        <v>шт</v>
      </c>
      <c r="E64" s="8">
        <f>Объёмы!$B$36</f>
        <v>55.0</v>
      </c>
      <c r="F64" s="8">
        <f>INDEX(Узлы!$G$2:$G$59,MATCH(B64,Узлы!$A$2:$A$59,0))</f>
        <v>35.0</v>
      </c>
      <c r="G64" s="8">
        <f>INDEX(Узлы!$E$2:$E$59,MATCH(B64,Узлы!$A$2:$A$59,0))</f>
        <v>16.0</v>
      </c>
      <c r="H64" s="9">
        <f>E64*F64</f>
        <v>1925.0</v>
      </c>
      <c r="I64" s="9">
        <f>E64*G64</f>
        <v>880.0</v>
      </c>
      <c r="J64" s="9">
        <f>H64+I64</f>
        <v>2805.0</v>
      </c>
      <c r="K64" s="10" t="inlineStr">
        <is>
          <t>лист 10</t>
        </is>
      </c>
    </row>
    <row r="65">
      <c r="A65" s="6" t="n">
        <v>41</v>
      </c>
      <c r="B65" s="6" t="inlineStr">
        <is>
          <t>M41</t>
        </is>
      </c>
      <c r="C65" s="7" t="str">
        <f>INDEX(Узлы!$B$2:$B$59,MATCH(B65,Узлы!$A$2:$A$59,0))</f>
        <v>Шинопровод Flexy TREK 3 м + 4 светильника</v>
      </c>
      <c r="D65" s="7" t="str">
        <f>INDEX(Узлы!$C$2:$C$59,MATCH(B65,Узлы!$A$2:$A$59,0))</f>
        <v>компл</v>
      </c>
      <c r="E65" s="11" t="n">
        <v>1</v>
      </c>
      <c r="F65" s="8">
        <f>INDEX(Узлы!$G$2:$G$59,MATCH(B65,Узлы!$A$2:$A$59,0))</f>
        <v>360.0</v>
      </c>
      <c r="G65" s="8">
        <f>INDEX(Узлы!$E$2:$E$59,MATCH(B65,Узлы!$A$2:$A$59,0))</f>
        <v>0.0</v>
      </c>
      <c r="H65" s="9">
        <f>E65*F65</f>
        <v>360.0</v>
      </c>
      <c r="I65" s="9">
        <f>E65*G65</f>
        <v>0.0</v>
      </c>
      <c r="J65" s="9">
        <f>H65+I65</f>
        <v>360.0</v>
      </c>
      <c r="K65" s="10" t="inlineStr">
        <is>
          <t>лист 10: Flexy TREK 3 м + 4 LIGHT 201</t>
        </is>
      </c>
    </row>
    <row r="66">
      <c r="A66" s="6" t="n">
        <v>42</v>
      </c>
      <c r="B66" s="6" t="inlineStr">
        <is>
          <t>M42</t>
        </is>
      </c>
      <c r="C66" s="7" t="str">
        <f>INDEX(Узлы!$B$2:$B$59,MATCH(B66,Узлы!$A$2:$A$59,0))</f>
        <v>LED-подсветка в профилях Laconistiq, карнизах, мебели (монтаж ленты и БП)</v>
      </c>
      <c r="D66" s="7" t="str">
        <f>INDEX(Узлы!$C$2:$C$59,MATCH(B66,Узлы!$A$2:$A$59,0))</f>
        <v>м.п.</v>
      </c>
      <c r="E66" s="11" t="n">
        <v>20</v>
      </c>
      <c r="F66" s="8">
        <f>INDEX(Узлы!$G$2:$G$59,MATCH(B66,Узлы!$A$2:$A$59,0))</f>
        <v>27.0</v>
      </c>
      <c r="G66" s="8">
        <f>INDEX(Узлы!$E$2:$E$59,MATCH(B66,Узлы!$A$2:$A$59,0))</f>
        <v>25.0</v>
      </c>
      <c r="H66" s="9">
        <f>E66*F66</f>
        <v>540.0</v>
      </c>
      <c r="I66" s="9">
        <f>E66*G66</f>
        <v>500.0</v>
      </c>
      <c r="J66" s="9">
        <f>H66+I66</f>
        <v>1040.0</v>
      </c>
      <c r="K66" s="10" t="inlineStr">
        <is>
          <t>оценка длины подсветок</t>
        </is>
      </c>
    </row>
    <row r="67">
      <c r="A67" s="6" t="n">
        <v>43</v>
      </c>
      <c r="B67" s="6" t="inlineStr">
        <is>
          <t>M43</t>
        </is>
      </c>
      <c r="C67" s="7" t="str">
        <f>INDEX(Узлы!$B$2:$B$59,MATCH(B67,Узлы!$A$2:$A$59,0))</f>
        <v>Щит квартирный 24–36 модулей, сборка</v>
      </c>
      <c r="D67" s="7" t="str">
        <f>INDEX(Узлы!$C$2:$C$59,MATCH(B67,Узлы!$A$2:$A$59,0))</f>
        <v>шт</v>
      </c>
      <c r="E67" s="11" t="n">
        <v>1</v>
      </c>
      <c r="F67" s="8">
        <f>INDEX(Узлы!$G$2:$G$59,MATCH(B67,Узлы!$A$2:$A$59,0))</f>
        <v>900.0</v>
      </c>
      <c r="G67" s="8">
        <f>INDEX(Узлы!$E$2:$E$59,MATCH(B67,Узлы!$A$2:$A$59,0))</f>
        <v>800.0</v>
      </c>
      <c r="H67" s="9">
        <f>E67*F67</f>
        <v>900.0</v>
      </c>
      <c r="I67" s="9">
        <f>E67*G67</f>
        <v>800.0</v>
      </c>
      <c r="J67" s="9">
        <f>H67+I67</f>
        <v>1700.0</v>
      </c>
      <c r="K67" s="10" t="inlineStr"/>
    </row>
    <row r="68">
      <c r="A68" s="6" t="n">
        <v>44</v>
      </c>
      <c r="B68" s="6" t="inlineStr">
        <is>
          <t>M44</t>
        </is>
      </c>
      <c r="C68" s="7" t="str">
        <f>INDEX(Узлы!$B$2:$B$59,MATCH(B68,Узлы!$A$2:$A$59,0))</f>
        <v>Слаботочка: интернет-кабель к 4 розеткам RJ45</v>
      </c>
      <c r="D68" s="7" t="str">
        <f>INDEX(Узлы!$C$2:$C$59,MATCH(B68,Узлы!$A$2:$A$59,0))</f>
        <v>м.п.</v>
      </c>
      <c r="E68" s="11" t="n">
        <v>40</v>
      </c>
      <c r="F68" s="8">
        <f>INDEX(Узлы!$G$2:$G$59,MATCH(B68,Узлы!$A$2:$A$59,0))</f>
        <v>4.0</v>
      </c>
      <c r="G68" s="8">
        <f>INDEX(Узлы!$E$2:$E$59,MATCH(B68,Узлы!$A$2:$A$59,0))</f>
        <v>1.5</v>
      </c>
      <c r="H68" s="9">
        <f>E68*F68</f>
        <v>160.0</v>
      </c>
      <c r="I68" s="9">
        <f>E68*G68</f>
        <v>60.0</v>
      </c>
      <c r="J68" s="9">
        <f>H68+I68</f>
        <v>220.0</v>
      </c>
      <c r="K68" s="10" t="inlineStr">
        <is>
          <t>оценка</t>
        </is>
      </c>
    </row>
    <row r="69">
      <c r="C69" s="12" t="inlineStr">
        <is>
          <t>Итого по разделу</t>
        </is>
      </c>
      <c r="H69" s="13">
        <f>SUM(H63:H68)</f>
        <v>12975.0</v>
      </c>
      <c r="I69" s="13">
        <f>SUM(I63:I68)</f>
        <v>6482.0</v>
      </c>
      <c r="J69" s="13">
        <f>SUM(J63:J68)</f>
        <v>19457.0</v>
      </c>
    </row>
    <row r="71">
      <c r="A71" s="4" t="n"/>
      <c r="B71" s="4" t="n"/>
      <c r="C71" s="5" t="inlineStr">
        <is>
          <t>8. Сантехника и отопление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6" t="n">
        <v>45</v>
      </c>
      <c r="B72" s="6" t="inlineStr">
        <is>
          <t>M45</t>
        </is>
      </c>
      <c r="C72" s="7" t="str">
        <f>INDEX(Узлы!$B$2:$B$59,MATCH(B72,Узлы!$A$2:$A$59,0))</f>
        <v>Точка водоснабжения (ХВС/ГВС, PPR/PEX)</v>
      </c>
      <c r="D72" s="7" t="str">
        <f>INDEX(Узлы!$C$2:$C$59,MATCH(B72,Узлы!$A$2:$A$59,0))</f>
        <v>точка</v>
      </c>
      <c r="E72" s="8">
        <f>Объёмы!$B$37</f>
        <v>9.0</v>
      </c>
      <c r="F72" s="8">
        <f>INDEX(Узлы!$G$2:$G$59,MATCH(B72,Узлы!$A$2:$A$59,0))</f>
        <v>70.0</v>
      </c>
      <c r="G72" s="8">
        <f>INDEX(Узлы!$E$2:$E$59,MATCH(B72,Узлы!$A$2:$A$59,0))</f>
        <v>22.0</v>
      </c>
      <c r="H72" s="9">
        <f>E72*F72</f>
        <v>630.0</v>
      </c>
      <c r="I72" s="9">
        <f>E72*G72</f>
        <v>198.0</v>
      </c>
      <c r="J72" s="9">
        <f>H72+I72</f>
        <v>828.0</v>
      </c>
      <c r="K72" s="10" t="inlineStr">
        <is>
          <t>лист 8</t>
        </is>
      </c>
    </row>
    <row r="73">
      <c r="A73" s="6" t="n">
        <v>46</v>
      </c>
      <c r="B73" s="6" t="inlineStr">
        <is>
          <t>M46</t>
        </is>
      </c>
      <c r="C73" s="7" t="str">
        <f>INDEX(Узлы!$B$2:$B$59,MATCH(B73,Узлы!$A$2:$A$59,0))</f>
        <v>Точка канализации</v>
      </c>
      <c r="D73" s="7" t="str">
        <f>INDEX(Узлы!$C$2:$C$59,MATCH(B73,Узлы!$A$2:$A$59,0))</f>
        <v>точка</v>
      </c>
      <c r="E73" s="8">
        <f>Объёмы!$B$38</f>
        <v>5.0</v>
      </c>
      <c r="F73" s="8">
        <f>INDEX(Узлы!$G$2:$G$59,MATCH(B73,Узлы!$A$2:$A$59,0))</f>
        <v>45.0</v>
      </c>
      <c r="G73" s="8">
        <f>INDEX(Узлы!$E$2:$E$59,MATCH(B73,Узлы!$A$2:$A$59,0))</f>
        <v>14.0</v>
      </c>
      <c r="H73" s="9">
        <f>E73*F73</f>
        <v>225.0</v>
      </c>
      <c r="I73" s="9">
        <f>E73*G73</f>
        <v>70.0</v>
      </c>
      <c r="J73" s="9">
        <f>H73+I73</f>
        <v>295.0</v>
      </c>
      <c r="K73" s="10" t="inlineStr">
        <is>
          <t>лист 8</t>
        </is>
      </c>
    </row>
    <row r="74">
      <c r="A74" s="6" t="n">
        <v>47</v>
      </c>
      <c r="B74" s="6" t="inlineStr">
        <is>
          <t>M47</t>
        </is>
      </c>
      <c r="C74" s="7" t="str">
        <f>INDEX(Узлы!$B$2:$B$59,MATCH(B74,Узлы!$A$2:$A$59,0))</f>
        <v>Узел ввода: краны, фильтры, редукторы, счётчики, коллекторы (2 стояка)</v>
      </c>
      <c r="D74" s="7" t="str">
        <f>INDEX(Узлы!$C$2:$C$59,MATCH(B74,Узлы!$A$2:$A$59,0))</f>
        <v>компл</v>
      </c>
      <c r="E74" s="11" t="n">
        <v>1</v>
      </c>
      <c r="F74" s="8">
        <f>INDEX(Узлы!$G$2:$G$59,MATCH(B74,Узлы!$A$2:$A$59,0))</f>
        <v>300.0</v>
      </c>
      <c r="G74" s="8">
        <f>INDEX(Узлы!$E$2:$E$59,MATCH(B74,Узлы!$A$2:$A$59,0))</f>
        <v>770.0</v>
      </c>
      <c r="H74" s="9">
        <f>E74*F74</f>
        <v>300.0</v>
      </c>
      <c r="I74" s="9">
        <f>E74*G74</f>
        <v>770.0</v>
      </c>
      <c r="J74" s="9">
        <f>H74+I74</f>
        <v>1070.0</v>
      </c>
      <c r="K74" s="10" t="inlineStr">
        <is>
          <t>лист 8 п. 8: заменить коллекторы застройщика</t>
        </is>
      </c>
    </row>
    <row r="75">
      <c r="A75" s="6" t="n">
        <v>48</v>
      </c>
      <c r="B75" s="6" t="inlineStr">
        <is>
          <t>M48</t>
        </is>
      </c>
      <c r="C75" s="7" t="str">
        <f>INDEX(Узлы!$B$2:$B$59,MATCH(B75,Узлы!$A$2:$A$59,0))</f>
        <v>Инсталляция TECE + навеска унитаза Roca The Gap</v>
      </c>
      <c r="D75" s="7" t="str">
        <f>INDEX(Узлы!$C$2:$C$59,MATCH(B75,Узлы!$A$2:$A$59,0))</f>
        <v>компл</v>
      </c>
      <c r="E75" s="11" t="n">
        <v>1</v>
      </c>
      <c r="F75" s="8">
        <f>INDEX(Узлы!$G$2:$G$59,MATCH(B75,Узлы!$A$2:$A$59,0))</f>
        <v>285.0</v>
      </c>
      <c r="G75" s="8">
        <f>INDEX(Узлы!$E$2:$E$59,MATCH(B75,Узлы!$A$2:$A$59,0))</f>
        <v>0.0</v>
      </c>
      <c r="H75" s="9">
        <f>E75*F75</f>
        <v>285.0</v>
      </c>
      <c r="I75" s="9">
        <f>E75*G75</f>
        <v>0.0</v>
      </c>
      <c r="J75" s="9">
        <f>H75+I75</f>
        <v>285.0</v>
      </c>
      <c r="K75" s="10" t="inlineStr">
        <is>
          <t>лист 26</t>
        </is>
      </c>
    </row>
    <row r="76">
      <c r="A76" s="6" t="n">
        <v>49</v>
      </c>
      <c r="B76" s="6" t="inlineStr">
        <is>
          <t>M49</t>
        </is>
      </c>
      <c r="C76" s="7" t="str">
        <f>INDEX(Узлы!$B$2:$B$59,MATCH(B76,Узлы!$A$2:$A$59,0))</f>
        <v>Ванна Kaldewei Eurowa 170×70 с ножками и шумоизоляцией, установка</v>
      </c>
      <c r="D76" s="7" t="str">
        <f>INDEX(Узлы!$C$2:$C$59,MATCH(B76,Узлы!$A$2:$A$59,0))</f>
        <v>шт</v>
      </c>
      <c r="E76" s="11" t="n">
        <v>1</v>
      </c>
      <c r="F76" s="8">
        <f>INDEX(Узлы!$G$2:$G$59,MATCH(B76,Узлы!$A$2:$A$59,0))</f>
        <v>130.0</v>
      </c>
      <c r="G76" s="8">
        <f>INDEX(Узлы!$E$2:$E$59,MATCH(B76,Узлы!$A$2:$A$59,0))</f>
        <v>20.0</v>
      </c>
      <c r="H76" s="9">
        <f>E76*F76</f>
        <v>130.0</v>
      </c>
      <c r="I76" s="9">
        <f>E76*G76</f>
        <v>20.0</v>
      </c>
      <c r="J76" s="9">
        <f>H76+I76</f>
        <v>150.0</v>
      </c>
      <c r="K76" s="10" t="inlineStr">
        <is>
          <t>лист 26</t>
        </is>
      </c>
    </row>
    <row r="77">
      <c r="A77" s="6" t="n">
        <v>50</v>
      </c>
      <c r="B77" s="6" t="inlineStr">
        <is>
          <t>M50</t>
        </is>
      </c>
      <c r="C77" s="7" t="str">
        <f>INDEX(Узлы!$B$2:$B$59,MATCH(B77,Узлы!$A$2:$A$59,0))</f>
        <v>Скрытый смеситель (раковина, гиг. душ) — встроенная + лицевая часть</v>
      </c>
      <c r="D77" s="7" t="str">
        <f>INDEX(Узлы!$C$2:$C$59,MATCH(B77,Узлы!$A$2:$A$59,0))</f>
        <v>шт</v>
      </c>
      <c r="E77" s="11" t="n">
        <v>2</v>
      </c>
      <c r="F77" s="8">
        <f>INDEX(Узлы!$G$2:$G$59,MATCH(B77,Узлы!$A$2:$A$59,0))</f>
        <v>380.0</v>
      </c>
      <c r="G77" s="8">
        <f>INDEX(Узлы!$E$2:$E$59,MATCH(B77,Узлы!$A$2:$A$59,0))</f>
        <v>0.0</v>
      </c>
      <c r="H77" s="9">
        <f>E77*F77</f>
        <v>760.0</v>
      </c>
      <c r="I77" s="9">
        <f>E77*G77</f>
        <v>0.0</v>
      </c>
      <c r="J77" s="9">
        <f>H77+I77</f>
        <v>760.0</v>
      </c>
      <c r="K77" s="10" t="inlineStr">
        <is>
          <t>лист 26</t>
        </is>
      </c>
    </row>
    <row r="78">
      <c r="A78" s="6" t="n">
        <v>51</v>
      </c>
      <c r="B78" s="6" t="inlineStr">
        <is>
          <t>M51</t>
        </is>
      </c>
      <c r="C78" s="7" t="str">
        <f>INDEX(Узлы!$B$2:$B$59,MATCH(B78,Узлы!$A$2:$A$59,0))</f>
        <v>Душевая система MOZA со скрытым сливом: смеситель + трап/лоток</v>
      </c>
      <c r="D78" s="7" t="str">
        <f>INDEX(Узлы!$C$2:$C$59,MATCH(B78,Узлы!$A$2:$A$59,0))</f>
        <v>компл</v>
      </c>
      <c r="E78" s="11" t="n">
        <v>1</v>
      </c>
      <c r="F78" s="8">
        <f>INDEX(Узлы!$G$2:$G$59,MATCH(B78,Узлы!$A$2:$A$59,0))</f>
        <v>500.0</v>
      </c>
      <c r="G78" s="8">
        <f>INDEX(Узлы!$E$2:$E$59,MATCH(B78,Узлы!$A$2:$A$59,0))</f>
        <v>0.0</v>
      </c>
      <c r="H78" s="9">
        <f>E78*F78</f>
        <v>500.0</v>
      </c>
      <c r="I78" s="9">
        <f>E78*G78</f>
        <v>0.0</v>
      </c>
      <c r="J78" s="9">
        <f>H78+I78</f>
        <v>500.0</v>
      </c>
      <c r="K78" s="10" t="inlineStr">
        <is>
          <t>лист 26</t>
        </is>
      </c>
    </row>
    <row r="79">
      <c r="A79" s="6" t="n">
        <v>52</v>
      </c>
      <c r="B79" s="6" t="inlineStr">
        <is>
          <t>M52</t>
        </is>
      </c>
      <c r="C79" s="7" t="str">
        <f>INDEX(Узлы!$B$2:$B$59,MATCH(B79,Узлы!$A$2:$A$59,0))</f>
        <v>Смеситель кухонный, умывальник, подключение СМ/ПМ, водонагреватель проточный</v>
      </c>
      <c r="D79" s="7" t="str">
        <f>INDEX(Узлы!$C$2:$C$59,MATCH(B79,Узлы!$A$2:$A$59,0))</f>
        <v>компл</v>
      </c>
      <c r="E79" s="11" t="n">
        <v>1</v>
      </c>
      <c r="F79" s="8">
        <f>INDEX(Узлы!$G$2:$G$59,MATCH(B79,Узлы!$A$2:$A$59,0))</f>
        <v>410.0</v>
      </c>
      <c r="G79" s="8">
        <f>INDEX(Узлы!$E$2:$E$59,MATCH(B79,Узлы!$A$2:$A$59,0))</f>
        <v>30.0</v>
      </c>
      <c r="H79" s="9">
        <f>E79*F79</f>
        <v>410.0</v>
      </c>
      <c r="I79" s="9">
        <f>E79*G79</f>
        <v>30.0</v>
      </c>
      <c r="J79" s="9">
        <f>H79+I79</f>
        <v>440.0</v>
      </c>
      <c r="K79" s="10" t="inlineStr">
        <is>
          <t>лист 8, 26</t>
        </is>
      </c>
    </row>
    <row r="80">
      <c r="A80" s="6" t="n">
        <v>53</v>
      </c>
      <c r="B80" s="6" t="inlineStr">
        <is>
          <t>M53</t>
        </is>
      </c>
      <c r="C80" s="7" t="str">
        <f>INDEX(Узлы!$B$2:$B$59,MATCH(B80,Узлы!$A$2:$A$59,0))</f>
        <v>Полотенцесушитель электрический Сунержа Богема, навеска</v>
      </c>
      <c r="D80" s="7" t="str">
        <f>INDEX(Узлы!$C$2:$C$59,MATCH(B80,Узлы!$A$2:$A$59,0))</f>
        <v>шт</v>
      </c>
      <c r="E80" s="11" t="n">
        <v>1</v>
      </c>
      <c r="F80" s="8">
        <f>INDEX(Узлы!$G$2:$G$59,MATCH(B80,Узлы!$A$2:$A$59,0))</f>
        <v>120.0</v>
      </c>
      <c r="G80" s="8">
        <f>INDEX(Узлы!$E$2:$E$59,MATCH(B80,Узлы!$A$2:$A$59,0))</f>
        <v>5.0</v>
      </c>
      <c r="H80" s="9">
        <f>E80*F80</f>
        <v>120.0</v>
      </c>
      <c r="I80" s="9">
        <f>E80*G80</f>
        <v>5.0</v>
      </c>
      <c r="J80" s="9">
        <f>H80+I80</f>
        <v>125.0</v>
      </c>
      <c r="K80" s="10" t="inlineStr">
        <is>
          <t>лист 26: электрический</t>
        </is>
      </c>
    </row>
    <row r="81">
      <c r="A81" s="6" t="n">
        <v>54</v>
      </c>
      <c r="B81" s="6" t="inlineStr">
        <is>
          <t>M54</t>
        </is>
      </c>
      <c r="C81" s="7" t="str">
        <f>INDEX(Узлы!$B$2:$B$59,MATCH(B81,Узлы!$A$2:$A$59,0))</f>
        <v>Радиатор Royal Thermo Insignia, замена с подводом</v>
      </c>
      <c r="D81" s="7" t="str">
        <f>INDEX(Узлы!$C$2:$C$59,MATCH(B81,Узлы!$A$2:$A$59,0))</f>
        <v>шт</v>
      </c>
      <c r="E81" s="11" t="n">
        <v>2</v>
      </c>
      <c r="F81" s="8">
        <f>INDEX(Узлы!$G$2:$G$59,MATCH(B81,Узлы!$A$2:$A$59,0))</f>
        <v>150.0</v>
      </c>
      <c r="G81" s="8">
        <f>INDEX(Узлы!$E$2:$E$59,MATCH(B81,Узлы!$A$2:$A$59,0))</f>
        <v>40.0</v>
      </c>
      <c r="H81" s="9">
        <f>E81*F81</f>
        <v>300.0</v>
      </c>
      <c r="I81" s="9">
        <f>E81*G81</f>
        <v>80.0</v>
      </c>
      <c r="J81" s="9">
        <f>H81+I81</f>
        <v>380.0</v>
      </c>
      <c r="K81" s="10" t="inlineStr">
        <is>
          <t>лист 4</t>
        </is>
      </c>
    </row>
    <row r="82">
      <c r="A82" s="6" t="n">
        <v>55</v>
      </c>
      <c r="B82" s="6" t="inlineStr">
        <is>
          <t>M55</t>
        </is>
      </c>
      <c r="C82" s="7" t="str">
        <f>INDEX(Узлы!$B$2:$B$59,MATCH(B82,Узлы!$A$2:$A$59,0))</f>
        <v>Шумоизоляция стояков и термоизоляция труб ХВС/ГВС</v>
      </c>
      <c r="D82" s="7" t="str">
        <f>INDEX(Узлы!$C$2:$C$59,MATCH(B82,Узлы!$A$2:$A$59,0))</f>
        <v>компл</v>
      </c>
      <c r="E82" s="11" t="n">
        <v>1</v>
      </c>
      <c r="F82" s="8">
        <f>INDEX(Узлы!$G$2:$G$59,MATCH(B82,Узлы!$A$2:$A$59,0))</f>
        <v>160.0</v>
      </c>
      <c r="G82" s="8">
        <f>INDEX(Узлы!$E$2:$E$59,MATCH(B82,Узлы!$A$2:$A$59,0))</f>
        <v>60.0</v>
      </c>
      <c r="H82" s="9">
        <f>E82*F82</f>
        <v>160.0</v>
      </c>
      <c r="I82" s="9">
        <f>E82*G82</f>
        <v>60.0</v>
      </c>
      <c r="J82" s="9">
        <f>H82+I82</f>
        <v>220.0</v>
      </c>
      <c r="K82" s="10" t="inlineStr">
        <is>
          <t>лист 8 п. 7</t>
        </is>
      </c>
    </row>
    <row r="83">
      <c r="C83" s="12" t="inlineStr">
        <is>
          <t>Итого по разделу</t>
        </is>
      </c>
      <c r="H83" s="13">
        <f>SUM(H72:H82)</f>
        <v>3820.0</v>
      </c>
      <c r="I83" s="13">
        <f>SUM(I72:I82)</f>
        <v>1233.0</v>
      </c>
      <c r="J83" s="13">
        <f>SUM(J72:J82)</f>
        <v>5053.0</v>
      </c>
    </row>
    <row r="85">
      <c r="A85" s="4" t="n"/>
      <c r="B85" s="4" t="n"/>
      <c r="C85" s="5" t="inlineStr">
        <is>
          <t>9. Двери и завершение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6" t="n">
        <v>56</v>
      </c>
      <c r="B86" s="6" t="inlineStr">
        <is>
          <t>M56</t>
        </is>
      </c>
      <c r="C86" s="7" t="str">
        <f>INDEX(Узлы!$B$2:$B$59,MATCH(B86,Узлы!$A$2:$A$59,0))</f>
        <v>Установка межкомнатных дверей (ДВ-1 700 ×1, ДВ-2 800 ×2)</v>
      </c>
      <c r="D86" s="7" t="str">
        <f>INDEX(Узлы!$C$2:$C$59,MATCH(B86,Узлы!$A$2:$A$59,0))</f>
        <v>шт</v>
      </c>
      <c r="E86" s="8">
        <f>Объёмы!$B$40</f>
        <v>3.0</v>
      </c>
      <c r="F86" s="8">
        <f>INDEX(Узлы!$G$2:$G$59,MATCH(B86,Узлы!$A$2:$A$59,0))</f>
        <v>118.0</v>
      </c>
      <c r="G86" s="8">
        <f>INDEX(Узлы!$E$2:$E$59,MATCH(B86,Узлы!$A$2:$A$59,0))</f>
        <v>15.0</v>
      </c>
      <c r="H86" s="9">
        <f>E86*F86</f>
        <v>354.0</v>
      </c>
      <c r="I86" s="9">
        <f>E86*G86</f>
        <v>45.0</v>
      </c>
      <c r="J86" s="9">
        <f>H86+I86</f>
        <v>399.0</v>
      </c>
      <c r="K86" s="10" t="inlineStr">
        <is>
          <t>лист 21</t>
        </is>
      </c>
    </row>
    <row r="87">
      <c r="A87" s="6" t="n">
        <v>57</v>
      </c>
      <c r="B87" s="6" t="inlineStr">
        <is>
          <t>M57</t>
        </is>
      </c>
      <c r="C87" s="7" t="str">
        <f>INDEX(Узлы!$B$2:$B$59,MATCH(B87,Узлы!$A$2:$A$59,0))</f>
        <v>Установка входной двери</v>
      </c>
      <c r="D87" s="7" t="str">
        <f>INDEX(Узлы!$C$2:$C$59,MATCH(B87,Узлы!$A$2:$A$59,0))</f>
        <v>шт</v>
      </c>
      <c r="E87" s="11" t="n">
        <v>1</v>
      </c>
      <c r="F87" s="8">
        <f>INDEX(Узлы!$G$2:$G$59,MATCH(B87,Узлы!$A$2:$A$59,0))</f>
        <v>110.0</v>
      </c>
      <c r="G87" s="8">
        <f>INDEX(Узлы!$E$2:$E$59,MATCH(B87,Узлы!$A$2:$A$59,0))</f>
        <v>25.0</v>
      </c>
      <c r="H87" s="9">
        <f>E87*F87</f>
        <v>110.0</v>
      </c>
      <c r="I87" s="9">
        <f>E87*G87</f>
        <v>25.0</v>
      </c>
      <c r="J87" s="9">
        <f>H87+I87</f>
        <v>135.0</v>
      </c>
      <c r="K87" s="10" t="inlineStr">
        <is>
          <t>лист 26</t>
        </is>
      </c>
    </row>
    <row r="88">
      <c r="A88" s="6" t="n">
        <v>58</v>
      </c>
      <c r="B88" s="6" t="inlineStr">
        <is>
          <t>M58</t>
        </is>
      </c>
      <c r="C88" s="7" t="str">
        <f>INDEX(Узлы!$B$2:$B$59,MATCH(B88,Узлы!$A$2:$A$59,0))</f>
        <v>Уборка после ремонта</v>
      </c>
      <c r="D88" s="7" t="str">
        <f>INDEX(Узлы!$C$2:$C$59,MATCH(B88,Узлы!$A$2:$A$59,0))</f>
        <v>м²</v>
      </c>
      <c r="E88" s="8">
        <f>Объёмы!$B$10</f>
        <v>57.03</v>
      </c>
      <c r="F88" s="8">
        <f>INDEX(Узлы!$G$2:$G$59,MATCH(B88,Узлы!$A$2:$A$59,0))</f>
        <v>4.5</v>
      </c>
      <c r="G88" s="8">
        <f>INDEX(Узлы!$E$2:$E$59,MATCH(B88,Узлы!$A$2:$A$59,0))</f>
        <v>0.0</v>
      </c>
      <c r="H88" s="9">
        <f>E88*F88</f>
        <v>256.635</v>
      </c>
      <c r="I88" s="9">
        <f>E88*G88</f>
        <v>0.0</v>
      </c>
      <c r="J88" s="9">
        <f>H88+I88</f>
        <v>256.635</v>
      </c>
      <c r="K88" s="10" t="inlineStr"/>
    </row>
    <row r="89">
      <c r="C89" s="12" t="inlineStr">
        <is>
          <t>Итого по разделу</t>
        </is>
      </c>
      <c r="H89" s="13">
        <f>SUM(H86:H88)</f>
        <v>720.635</v>
      </c>
      <c r="I89" s="13">
        <f>SUM(I86:I88)</f>
        <v>70.0</v>
      </c>
      <c r="J89" s="13">
        <f>SUM(J86:J88)</f>
        <v>790.635</v>
      </c>
    </row>
    <row r="92">
      <c r="C92" s="12" t="inlineStr">
        <is>
          <t>Итого прямые затраты</t>
        </is>
      </c>
      <c r="H92" s="14">
        <f>H12+H20+H29+H42+H49+H60+H69+H83+H89</f>
        <v>42031.2978</v>
      </c>
      <c r="I92" s="14">
        <f>I12+I20+I29+I42+I49+I60+I69+I83+I89</f>
        <v>23240.947</v>
      </c>
      <c r="J92" s="13">
        <f>H92+I92</f>
        <v>65272.2448</v>
      </c>
    </row>
    <row r="93">
      <c r="C93" s="15" t="inlineStr">
        <is>
          <t>Запас на материалы</t>
        </is>
      </c>
      <c r="I93" s="16">
        <f>I92*Параметры!$B$4</f>
        <v>2324.0947</v>
      </c>
      <c r="J93" s="17">
        <f>I93</f>
        <v>2324.0947</v>
      </c>
      <c r="K93" s="2" t="inlineStr">
        <is>
          <t>параметр; в LVT запас уже учтён</t>
        </is>
      </c>
    </row>
    <row r="94">
      <c r="C94" s="15" t="inlineStr">
        <is>
          <t>Накладные и прибыль подрядчика</t>
        </is>
      </c>
      <c r="H94" s="16">
        <f>H92*Параметры!$B$7</f>
        <v>8406.25956</v>
      </c>
      <c r="J94" s="17">
        <f>H94</f>
        <v>8406.25956</v>
      </c>
      <c r="K94" s="2" t="inlineStr">
        <is>
          <t>параметр</t>
        </is>
      </c>
    </row>
    <row r="95">
      <c r="C95" s="15" t="inlineStr">
        <is>
          <t>Доставка и подъём материалов</t>
        </is>
      </c>
      <c r="I95" s="16">
        <f>Параметры!$B$8</f>
        <v>500.0</v>
      </c>
      <c r="J95" s="17">
        <f>I95</f>
        <v>500.0</v>
      </c>
      <c r="K95" s="2" t="inlineStr">
        <is>
          <t>параметр</t>
        </is>
      </c>
    </row>
    <row r="96">
      <c r="C96" s="15" t="inlineStr">
        <is>
          <t>Непредвиденные</t>
        </is>
      </c>
      <c r="J96" s="17">
        <f>(J92+J93+J94+J95)*Параметры!$B$6</f>
        <v>3825.129953</v>
      </c>
      <c r="K96" s="2" t="inlineStr">
        <is>
          <t>параметр</t>
        </is>
      </c>
    </row>
    <row r="97">
      <c r="C97" s="18" t="inlineStr">
        <is>
          <t>ИТОГО К ОПЛАТЕ, BYN</t>
        </is>
      </c>
      <c r="H97" s="14">
        <f>H92+H94</f>
        <v>50437.55736</v>
      </c>
      <c r="I97" s="14">
        <f>I92+I93+I95</f>
        <v>26065.0417</v>
      </c>
      <c r="J97" s="19">
        <f>J92+J93+J94+J95+J96</f>
        <v>80327.729013</v>
      </c>
    </row>
    <row r="98">
      <c r="C98" s="15" t="inlineStr">
        <is>
          <t>Справочно: эквивалент в €</t>
        </is>
      </c>
      <c r="J98" s="17">
        <f>J97/Параметры!$B$3</f>
        <v>23292.1764760634</v>
      </c>
      <c r="K98" s="2" t="inlineStr">
        <is>
          <t>валютная оговорка договора, ст. 298 ГК</t>
        </is>
      </c>
    </row>
    <row r="99">
      <c r="C99" s="15" t="inlineStr">
        <is>
          <t>Справочно: на м² без балкона, BYN</t>
        </is>
      </c>
      <c r="J99" s="17">
        <f>J97/Объёмы!$B$9</f>
        <v>1490.8635674276</v>
      </c>
      <c r="K99" s="2" t="inlineStr">
        <is>
          <t>рынок: новостройка с материалами 700–1 100; дизайнерский 1 500–1 800</t>
        </is>
      </c>
    </row>
    <row r="100">
      <c r="C100" s="15" t="inlineStr">
        <is>
          <t>Справочно: только работы на м², BYN</t>
        </is>
      </c>
      <c r="J100" s="17">
        <f>H97/Объёмы!$B$9</f>
        <v>936.1090824053</v>
      </c>
      <c r="K100" s="2" t="inlineStr">
        <is>
          <t>рынок: новостройка «с нуля» работа 440–600, дизайнерский 730–1 000</t>
        </is>
      </c>
    </row>
    <row r="101">
      <c r="C101" s="15" t="inlineStr">
        <is>
          <t>Справочно: доля работ в итоге</t>
        </is>
      </c>
      <c r="J101" s="20">
        <f>H97/J97</f>
        <v>0.6278972153</v>
      </c>
    </row>
    <row r="103" ht="28" customHeight="1">
      <c r="C103" s="21" t="inlineStr">
        <is>
          <t>НЕ ВКЛЮЧЕНО (закупка заказчика по спецификации листов 26–27): сантехприборы и смесители MOZA/TECE/Roca/Kaldewei/Сунержа, светильники и споты (44 + подвесы), двери с коробками (3 межкомнатных + входная), радиаторы Royal Thermo, розетки серии Vertus сверх ~12 руб./шт, кухня и корпусная мебель, столешница и фартук Coverlam, шторы и профили Laconistiq/Loconistic, зеркала.</t>
        </is>
      </c>
    </row>
    <row r="104" ht="28" customHeight="1">
      <c r="C104" s="21" t="inlineStr">
        <is>
          <t>Чистовые материалы в строках M19, M20, M21, M32–M35 — ориентировочные розничные цены; заменить на счета салонов (alexparket, terracotta, premiumdecor, minskoboi, vinni).</t>
        </is>
      </c>
    </row>
    <row r="105" ht="28" customHeight="1">
      <c r="C105" s="21" t="inlineStr">
        <is>
          <t>Микроцемент (M37–M38) — фикс студии UNICORE до 20 м² стен по CLAUDE.md; при изменении площади пересчитать по модели costs.py.</t>
        </is>
      </c>
    </row>
    <row r="106" ht="28" customHeight="1">
      <c r="C106" s="21" t="inlineStr">
        <is>
          <t>Тёплый пол на балконе (2,2 м²) исключён: проект (лист 13 п. 8) сам отмечает незаконность; присоединение балкона запрещено пост. № 164 п. 4.</t>
        </is>
      </c>
    </row>
    <row r="107" ht="28" customHeight="1">
      <c r="C107" s="21" t="inlineStr">
        <is>
          <t>Штукатурка только новых перегородок; существующие стены — шпаклёвка по факту плоскости (класс «улучшенная», ≤ 2 мм/м). Если замер покажет отклонения &gt; 8 мм на высоту — добавить строку локального выравнивания.</t>
        </is>
      </c>
    </row>
    <row r="108" ht="28" customHeight="1">
      <c r="C108" s="21" t="inlineStr">
        <is>
          <t>Перепланировка (новые перегородки, проёмы, гидроизоляция) требует согласования администрации района по пост. № 164 п. 7 без проекта; срок до 1 месяца. Шумные работы — рабочие дни 9:00–19:00.</t>
        </is>
      </c>
    </row>
    <row r="109" ht="28" customHeight="1">
      <c r="C109" s="21" t="inlineStr">
        <is>
          <t>Гарантия на пол — только при протоколе влажности основания CM ≤ 2,0 % и ровности ≤ 2 мм/2 м после самонивелира (акт скрытых работ).</t>
        </is>
      </c>
    </row>
    <row r="110" ht="28" customHeight="1">
      <c r="C110" s="21" t="inlineStr">
        <is>
          <t>Итог может отличаться на ±10 % после обмера по факту (допуск проекта 20 мм) и выбора материалов; смета приблизительная в смысле ст. 663 ГК — превышение согласовывать письменно.</t>
        </is>
      </c>
    </row>
  </sheetData>
  <mergeCells count="8">
    <mergeCell ref="C108:K108"/>
    <mergeCell ref="C103:K103"/>
    <mergeCell ref="C104:K104"/>
    <mergeCell ref="C107:K107"/>
    <mergeCell ref="C110:K110"/>
    <mergeCell ref="C106:K106"/>
    <mergeCell ref="C105:K105"/>
    <mergeCell ref="C109:K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70" customWidth="1" min="3" max="3"/>
  </cols>
  <sheetData>
    <row r="1">
      <c r="A1" s="1" t="inlineStr">
        <is>
          <t>Параметры расчёта — Миля 9</t>
        </is>
      </c>
    </row>
    <row r="2">
      <c r="A2" s="22" t="inlineStr">
        <is>
          <t>Показатель</t>
        </is>
      </c>
      <c r="B2" s="22" t="inlineStr">
        <is>
          <t>Значение</t>
        </is>
      </c>
      <c r="C2" s="22" t="inlineStr">
        <is>
          <t>Источник / пояснение</t>
        </is>
      </c>
    </row>
    <row r="3">
      <c r="A3" s="15" t="inlineStr">
        <is>
          <t>Курс НБ РБ, BYN за €</t>
        </is>
      </c>
      <c r="B3" s="23" t="n">
        <v>3.4487</v>
      </c>
      <c r="C3" s="21" t="inlineStr">
        <is>
          <t>api.nbrb.by, 27.09.2026. Микроцемент считается по модели студии в €.</t>
        </is>
      </c>
    </row>
    <row r="4">
      <c r="A4" s="15" t="inlineStr">
        <is>
          <t>Запас на смеси и штучные материалы</t>
        </is>
      </c>
      <c r="B4" s="24" t="n">
        <v>0.1</v>
      </c>
      <c r="C4" s="21" t="inlineStr">
        <is>
          <t>Смеси 5–10 %, холст 10 %. К строке «Материалы» сметы (кроме LVT — запас 7 % уже в цене узла).</t>
        </is>
      </c>
    </row>
    <row r="5">
      <c r="A5" s="15" t="inlineStr">
        <is>
          <t>Запас на LVT (палуба)</t>
        </is>
      </c>
      <c r="B5" s="24" t="n">
        <v>0.07000000000000001</v>
      </c>
      <c r="C5" s="21" t="inlineStr">
        <is>
          <t>Справочно; учтён в узле M17.</t>
        </is>
      </c>
    </row>
    <row r="6">
      <c r="A6" s="15" t="inlineStr">
        <is>
          <t>Непредвиденные, % от работ и материалов</t>
        </is>
      </c>
      <c r="B6" s="24" t="n">
        <v>0.05</v>
      </c>
      <c r="C6" s="21" t="inlineStr">
        <is>
          <t>Официально 1,5 % (пост. № 116); новостройка без отделки 3–5 %.</t>
        </is>
      </c>
    </row>
    <row r="7">
      <c r="A7" s="15" t="inlineStr">
        <is>
          <t>Накладные и прибыль подрядчика, % от работ</t>
        </is>
      </c>
      <c r="B7" s="24" t="n">
        <v>0.2</v>
      </c>
      <c r="C7" s="21" t="inlineStr">
        <is>
          <t>Компании 15–30 %; бригады 0–10 %.</t>
        </is>
      </c>
    </row>
    <row r="8">
      <c r="A8" s="15" t="inlineStr">
        <is>
          <t>Доставка и подъём материалов, BYN (фикс)</t>
        </is>
      </c>
      <c r="B8" s="23" t="n">
        <v>500</v>
      </c>
      <c r="C8" s="21" t="inlineStr">
        <is>
          <t>Газель 160–220/рейс × 2–3 рейса; подъём на этаж.</t>
        </is>
      </c>
    </row>
    <row r="9">
      <c r="A9" s="15" t="inlineStr">
        <is>
          <t>Стоимость чел.-ч 4 разряда (пост. № 145), BYN</t>
        </is>
      </c>
      <c r="B9" s="23" t="n">
        <v>16.96</v>
      </c>
      <c r="C9" s="21" t="inlineStr">
        <is>
          <t>С 01.01.2026, справочно.</t>
        </is>
      </c>
    </row>
    <row r="10">
      <c r="A10" s="15" t="inlineStr">
        <is>
          <t>Полная «официальная» стоимость чел.-ч, BYN</t>
        </is>
      </c>
      <c r="B10" s="16">
        <f>B8*(1+0.8383+0.4582*1.115+0.34)</f>
        <v>1344.5965</v>
      </c>
      <c r="C10" s="21" t="inlineStr">
        <is>
          <t>≈ 45,6 руб. — нижняя граница проверки ставок.</t>
        </is>
      </c>
    </row>
    <row r="11">
      <c r="A11" s="15" t="inlineStr">
        <is>
          <t>Высота помещений, м</t>
        </is>
      </c>
      <c r="B11" s="23" t="n">
        <v>2.73</v>
      </c>
      <c r="C11" s="21" t="inlineStr">
        <is>
          <t>Лист 2 обмера: 2 730 (санузел 2 750), от чернового пола.</t>
        </is>
      </c>
    </row>
    <row r="13">
      <c r="A13" s="2" t="inlineStr">
        <is>
          <t>Жёлтые ячейки с синим шрифтом — ввод. Чёрные — формулы, зелёные — ссылки на другой лист.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10" customWidth="1" min="4" max="4"/>
    <col width="8" customWidth="1" min="5" max="5"/>
    <col width="10" customWidth="1" min="6" max="6"/>
    <col width="8" customWidth="1" min="7" max="7"/>
    <col width="13" customWidth="1" min="8" max="8"/>
    <col width="40" customWidth="1" min="9" max="9"/>
  </cols>
  <sheetData>
    <row r="1">
      <c r="A1" s="22" t="inlineStr">
        <is>
          <t>Код</t>
        </is>
      </c>
      <c r="B1" s="22" t="inlineStr">
        <is>
          <t>Раздел</t>
        </is>
      </c>
      <c r="C1" s="22" t="inlineStr">
        <is>
          <t>Работа</t>
        </is>
      </c>
      <c r="D1" s="22" t="inlineStr">
        <is>
          <t>Ед.</t>
        </is>
      </c>
      <c r="E1" s="22" t="inlineStr">
        <is>
          <t>Мин</t>
        </is>
      </c>
      <c r="F1" s="22" t="inlineStr">
        <is>
          <t>Типично</t>
        </is>
      </c>
      <c r="G1" s="22" t="inlineStr">
        <is>
          <t>Макс</t>
        </is>
      </c>
      <c r="H1" s="22" t="inlineStr">
        <is>
          <t>С материалом</t>
        </is>
      </c>
      <c r="I1" s="22" t="inlineStr">
        <is>
          <t>Примечание</t>
        </is>
      </c>
    </row>
    <row r="2">
      <c r="A2" s="15" t="inlineStr">
        <is>
          <t>D01</t>
        </is>
      </c>
      <c r="B2" s="15" t="inlineStr">
        <is>
          <t>демонтаж</t>
        </is>
      </c>
      <c r="C2" s="15" t="inlineStr">
        <is>
          <t>Перегородка кирпич 1/2</t>
        </is>
      </c>
      <c r="D2" s="15" t="inlineStr">
        <is>
          <t>м2</t>
        </is>
      </c>
      <c r="E2" s="25" t="n">
        <v>8</v>
      </c>
      <c r="F2" s="25" t="n">
        <v>14</v>
      </c>
      <c r="G2" s="25" t="n">
        <v>45</v>
      </c>
      <c r="H2" s="15" t="inlineStr">
        <is>
          <t>нет</t>
        </is>
      </c>
      <c r="I2" s="15" t="inlineStr"/>
    </row>
    <row r="3">
      <c r="A3" s="15" t="inlineStr">
        <is>
          <t>D02</t>
        </is>
      </c>
      <c r="B3" s="15" t="inlineStr">
        <is>
          <t>демонтаж</t>
        </is>
      </c>
      <c r="C3" s="15" t="inlineStr">
        <is>
          <t>Перегородка ГКЛ</t>
        </is>
      </c>
      <c r="D3" s="15" t="inlineStr">
        <is>
          <t>м2</t>
        </is>
      </c>
      <c r="E3" s="25" t="n">
        <v>3</v>
      </c>
      <c r="F3" s="25" t="n">
        <v>12</v>
      </c>
      <c r="G3" s="25" t="n">
        <v>25</v>
      </c>
      <c r="H3" s="15" t="inlineStr">
        <is>
          <t>нет</t>
        </is>
      </c>
      <c r="I3" s="15" t="inlineStr"/>
    </row>
    <row r="4">
      <c r="A4" s="15" t="inlineStr">
        <is>
          <t>D03</t>
        </is>
      </c>
      <c r="B4" s="15" t="inlineStr">
        <is>
          <t>демонтаж</t>
        </is>
      </c>
      <c r="C4" s="15" t="inlineStr">
        <is>
          <t>Перегородка ж/б, бетон</t>
        </is>
      </c>
      <c r="D4" s="15" t="inlineStr">
        <is>
          <t>м2</t>
        </is>
      </c>
      <c r="E4" s="25" t="n">
        <v>15</v>
      </c>
      <c r="F4" s="25" t="n">
        <v>28</v>
      </c>
      <c r="G4" s="25" t="n">
        <v>40</v>
      </c>
      <c r="H4" s="15" t="inlineStr">
        <is>
          <t>нет</t>
        </is>
      </c>
      <c r="I4" s="15" t="inlineStr"/>
    </row>
    <row r="5">
      <c r="A5" s="15" t="inlineStr">
        <is>
          <t>D04</t>
        </is>
      </c>
      <c r="B5" s="15" t="inlineStr">
        <is>
          <t>демонтаж</t>
        </is>
      </c>
      <c r="C5" s="15" t="inlineStr">
        <is>
          <t>Перегородка блоки (ГСБ, керамзит)</t>
        </is>
      </c>
      <c r="D5" s="15" t="inlineStr">
        <is>
          <t>м2</t>
        </is>
      </c>
      <c r="E5" s="25" t="n">
        <v>12</v>
      </c>
      <c r="F5" s="25" t="n">
        <v>15</v>
      </c>
      <c r="G5" s="25" t="n">
        <v>45</v>
      </c>
      <c r="H5" s="15" t="inlineStr">
        <is>
          <t>нет</t>
        </is>
      </c>
      <c r="I5" s="15" t="inlineStr"/>
    </row>
    <row r="6">
      <c r="A6" s="15" t="inlineStr">
        <is>
          <t>D05</t>
        </is>
      </c>
      <c r="B6" s="15" t="inlineStr">
        <is>
          <t>демонтаж</t>
        </is>
      </c>
      <c r="C6" s="15" t="inlineStr">
        <is>
          <t>Стяжка до 5 см</t>
        </is>
      </c>
      <c r="D6" s="15" t="inlineStr">
        <is>
          <t>м2</t>
        </is>
      </c>
      <c r="E6" s="25" t="n">
        <v>7</v>
      </c>
      <c r="F6" s="25" t="n">
        <v>11</v>
      </c>
      <c r="G6" s="25" t="n">
        <v>30</v>
      </c>
      <c r="H6" s="15" t="inlineStr">
        <is>
          <t>нет</t>
        </is>
      </c>
      <c r="I6" s="15" t="inlineStr"/>
    </row>
    <row r="7">
      <c r="A7" s="15" t="inlineStr">
        <is>
          <t>D06</t>
        </is>
      </c>
      <c r="B7" s="15" t="inlineStr">
        <is>
          <t>демонтаж</t>
        </is>
      </c>
      <c r="C7" s="15" t="inlineStr">
        <is>
          <t>Стяжка 5–10 см</t>
        </is>
      </c>
      <c r="D7" s="15" t="inlineStr">
        <is>
          <t>м2</t>
        </is>
      </c>
      <c r="E7" s="25" t="n">
        <v>12</v>
      </c>
      <c r="F7" s="25" t="n">
        <v>16</v>
      </c>
      <c r="G7" s="25" t="n">
        <v>35</v>
      </c>
      <c r="H7" s="15" t="inlineStr">
        <is>
          <t>нет</t>
        </is>
      </c>
      <c r="I7" s="15" t="inlineStr"/>
    </row>
    <row r="8">
      <c r="A8" s="15" t="inlineStr">
        <is>
          <t>D07</t>
        </is>
      </c>
      <c r="B8" s="15" t="inlineStr">
        <is>
          <t>демонтаж</t>
        </is>
      </c>
      <c r="C8" s="15" t="inlineStr">
        <is>
          <t>Плитка стены/пол с клеем</t>
        </is>
      </c>
      <c r="D8" s="15" t="inlineStr">
        <is>
          <t>м2</t>
        </is>
      </c>
      <c r="E8" s="25" t="n">
        <v>4</v>
      </c>
      <c r="F8" s="25" t="n">
        <v>13</v>
      </c>
      <c r="G8" s="25" t="n">
        <v>20</v>
      </c>
      <c r="H8" s="15" t="inlineStr">
        <is>
          <t>нет</t>
        </is>
      </c>
      <c r="I8" s="15" t="inlineStr"/>
    </row>
    <row r="9">
      <c r="A9" s="15" t="inlineStr">
        <is>
          <t>D08</t>
        </is>
      </c>
      <c r="B9" s="15" t="inlineStr">
        <is>
          <t>демонтаж</t>
        </is>
      </c>
      <c r="C9" s="15" t="inlineStr">
        <is>
          <t>Штукатурка</t>
        </is>
      </c>
      <c r="D9" s="15" t="inlineStr">
        <is>
          <t>м2</t>
        </is>
      </c>
      <c r="E9" s="25" t="n">
        <v>4</v>
      </c>
      <c r="F9" s="25" t="n">
        <v>11</v>
      </c>
      <c r="G9" s="25" t="n">
        <v>15</v>
      </c>
      <c r="H9" s="15" t="inlineStr">
        <is>
          <t>нет</t>
        </is>
      </c>
      <c r="I9" s="15" t="inlineStr"/>
    </row>
    <row r="10">
      <c r="A10" s="15" t="inlineStr">
        <is>
          <t>D09</t>
        </is>
      </c>
      <c r="B10" s="15" t="inlineStr">
        <is>
          <t>демонтаж</t>
        </is>
      </c>
      <c r="C10" s="15" t="inlineStr">
        <is>
          <t>Обои</t>
        </is>
      </c>
      <c r="D10" s="15" t="inlineStr">
        <is>
          <t>м2</t>
        </is>
      </c>
      <c r="E10" s="25" t="n">
        <v>1.5</v>
      </c>
      <c r="F10" s="25" t="n">
        <v>3</v>
      </c>
      <c r="G10" s="25" t="n">
        <v>5</v>
      </c>
      <c r="H10" s="15" t="inlineStr">
        <is>
          <t>нет</t>
        </is>
      </c>
      <c r="I10" s="15" t="inlineStr"/>
    </row>
    <row r="11">
      <c r="A11" s="15" t="inlineStr">
        <is>
          <t>D10</t>
        </is>
      </c>
      <c r="B11" s="15" t="inlineStr">
        <is>
          <t>демонтаж</t>
        </is>
      </c>
      <c r="C11" s="15" t="inlineStr">
        <is>
          <t>Краска/старая шпаклёвка</t>
        </is>
      </c>
      <c r="D11" s="15" t="inlineStr">
        <is>
          <t>м2</t>
        </is>
      </c>
      <c r="E11" s="25" t="n">
        <v>4.5</v>
      </c>
      <c r="F11" s="25" t="n">
        <v>10</v>
      </c>
      <c r="G11" s="25" t="n">
        <v>15.5</v>
      </c>
      <c r="H11" s="15" t="inlineStr">
        <is>
          <t>нет</t>
        </is>
      </c>
      <c r="I11" s="15" t="inlineStr"/>
    </row>
    <row r="12">
      <c r="A12" s="15" t="inlineStr">
        <is>
          <t>D11</t>
        </is>
      </c>
      <c r="B12" s="15" t="inlineStr">
        <is>
          <t>демонтаж</t>
        </is>
      </c>
      <c r="C12" s="15" t="inlineStr">
        <is>
          <t>Дверной блок</t>
        </is>
      </c>
      <c r="D12" s="15" t="inlineStr">
        <is>
          <t>шт</t>
        </is>
      </c>
      <c r="E12" s="25" t="n">
        <v>10</v>
      </c>
      <c r="F12" s="25" t="n">
        <v>20</v>
      </c>
      <c r="G12" s="25" t="n">
        <v>40</v>
      </c>
      <c r="H12" s="15" t="inlineStr">
        <is>
          <t>нет</t>
        </is>
      </c>
      <c r="I12" s="15" t="inlineStr"/>
    </row>
    <row r="13">
      <c r="A13" s="15" t="inlineStr">
        <is>
          <t>D12</t>
        </is>
      </c>
      <c r="B13" s="15" t="inlineStr">
        <is>
          <t>демонтаж</t>
        </is>
      </c>
      <c r="C13" s="15" t="inlineStr">
        <is>
          <t>Ванна чугунная</t>
        </is>
      </c>
      <c r="D13" s="15" t="inlineStr">
        <is>
          <t>шт</t>
        </is>
      </c>
      <c r="E13" s="25" t="n">
        <v>30</v>
      </c>
      <c r="F13" s="25" t="n">
        <v>50</v>
      </c>
      <c r="G13" s="25" t="n">
        <v>133</v>
      </c>
      <c r="H13" s="15" t="inlineStr">
        <is>
          <t>нет</t>
        </is>
      </c>
      <c r="I13" s="15" t="inlineStr"/>
    </row>
    <row r="14">
      <c r="A14" s="15" t="inlineStr">
        <is>
          <t>D13</t>
        </is>
      </c>
      <c r="B14" s="15" t="inlineStr">
        <is>
          <t>демонтаж</t>
        </is>
      </c>
      <c r="C14" s="15" t="inlineStr">
        <is>
          <t>Унитаз</t>
        </is>
      </c>
      <c r="D14" s="15" t="inlineStr">
        <is>
          <t>шт</t>
        </is>
      </c>
      <c r="E14" s="25" t="n">
        <v>10</v>
      </c>
      <c r="F14" s="25" t="n">
        <v>20</v>
      </c>
      <c r="G14" s="25" t="n">
        <v>30</v>
      </c>
      <c r="H14" s="15" t="inlineStr">
        <is>
          <t>нет</t>
        </is>
      </c>
      <c r="I14" s="15" t="inlineStr"/>
    </row>
    <row r="15">
      <c r="A15" s="15" t="inlineStr">
        <is>
          <t>D14</t>
        </is>
      </c>
      <c r="B15" s="15" t="inlineStr">
        <is>
          <t>демонтаж</t>
        </is>
      </c>
      <c r="C15" s="15" t="inlineStr">
        <is>
          <t>Радиатор</t>
        </is>
      </c>
      <c r="D15" s="15" t="inlineStr">
        <is>
          <t>шт</t>
        </is>
      </c>
      <c r="E15" s="25" t="n">
        <v>22</v>
      </c>
      <c r="F15" s="25" t="n">
        <v>30</v>
      </c>
      <c r="G15" s="25" t="n">
        <v>40</v>
      </c>
      <c r="H15" s="15" t="inlineStr">
        <is>
          <t>нет</t>
        </is>
      </c>
      <c r="I15" s="15" t="inlineStr"/>
    </row>
    <row r="16">
      <c r="A16" s="15" t="inlineStr">
        <is>
          <t>D15</t>
        </is>
      </c>
      <c r="B16" s="15" t="inlineStr">
        <is>
          <t>демонтаж</t>
        </is>
      </c>
      <c r="C16" s="15" t="inlineStr">
        <is>
          <t>Вынос мусора (мешок, с лифтом)</t>
        </is>
      </c>
      <c r="D16" s="15" t="inlineStr">
        <is>
          <t>мешок</t>
        </is>
      </c>
      <c r="E16" s="25" t="n">
        <v>1.5</v>
      </c>
      <c r="F16" s="25" t="n">
        <v>2</v>
      </c>
      <c r="G16" s="25" t="n">
        <v>3</v>
      </c>
      <c r="H16" s="15" t="inlineStr">
        <is>
          <t>нет</t>
        </is>
      </c>
      <c r="I16" s="15" t="inlineStr"/>
    </row>
    <row r="17">
      <c r="A17" s="15" t="inlineStr">
        <is>
          <t>D16</t>
        </is>
      </c>
      <c r="B17" s="15" t="inlineStr">
        <is>
          <t>демонтаж</t>
        </is>
      </c>
      <c r="C17" s="15" t="inlineStr">
        <is>
          <t>Газель 4–5 м3, рейс</t>
        </is>
      </c>
      <c r="D17" s="15" t="inlineStr">
        <is>
          <t>рейс</t>
        </is>
      </c>
      <c r="E17" s="25" t="n">
        <v>160</v>
      </c>
      <c r="F17" s="25" t="n">
        <v>180</v>
      </c>
      <c r="G17" s="25" t="n">
        <v>220</v>
      </c>
      <c r="H17" s="15" t="inlineStr">
        <is>
          <t>нет</t>
        </is>
      </c>
      <c r="I17" s="15" t="inlineStr"/>
    </row>
    <row r="18">
      <c r="A18" s="15" t="inlineStr">
        <is>
          <t>D17</t>
        </is>
      </c>
      <c r="B18" s="15" t="inlineStr">
        <is>
          <t>демонтаж</t>
        </is>
      </c>
      <c r="C18" s="15" t="inlineStr">
        <is>
          <t>Контейнер 8 м3 (до 5 т)</t>
        </is>
      </c>
      <c r="D18" s="15" t="inlineStr">
        <is>
          <t>шт</t>
        </is>
      </c>
      <c r="E18" s="25" t="n">
        <v>230</v>
      </c>
      <c r="F18" s="25" t="n">
        <v>365</v>
      </c>
      <c r="G18" s="25" t="n">
        <v>420</v>
      </c>
      <c r="H18" s="15" t="inlineStr">
        <is>
          <t>нет</t>
        </is>
      </c>
      <c r="I18" s="15" t="inlineStr"/>
    </row>
    <row r="19">
      <c r="A19" s="15" t="inlineStr">
        <is>
          <t>W01</t>
        </is>
      </c>
      <c r="B19" s="15" t="inlineStr">
        <is>
          <t>стены</t>
        </is>
      </c>
      <c r="C19" s="15" t="inlineStr">
        <is>
          <t>Штукатурка стен гипс по маякам до 20–30 мм</t>
        </is>
      </c>
      <c r="D19" s="15" t="inlineStr">
        <is>
          <t>м2</t>
        </is>
      </c>
      <c r="E19" s="25" t="n">
        <v>14</v>
      </c>
      <c r="F19" s="25" t="n">
        <v>20</v>
      </c>
      <c r="G19" s="25" t="n">
        <v>28</v>
      </c>
      <c r="H19" s="15" t="inlineStr">
        <is>
          <t>нет</t>
        </is>
      </c>
      <c r="I19" s="15" t="inlineStr"/>
    </row>
    <row r="20">
      <c r="A20" s="15" t="inlineStr">
        <is>
          <t>W02</t>
        </is>
      </c>
      <c r="B20" s="15" t="inlineStr">
        <is>
          <t>стены</t>
        </is>
      </c>
      <c r="C20" s="15" t="inlineStr">
        <is>
          <t>Штукатурка цементная по маякам</t>
        </is>
      </c>
      <c r="D20" s="15" t="inlineStr">
        <is>
          <t>м2</t>
        </is>
      </c>
      <c r="E20" s="25" t="n">
        <v>22</v>
      </c>
      <c r="F20" s="25" t="n">
        <v>25</v>
      </c>
      <c r="G20" s="25" t="n">
        <v>30</v>
      </c>
      <c r="H20" s="15" t="inlineStr">
        <is>
          <t>нет</t>
        </is>
      </c>
      <c r="I20" s="15" t="inlineStr"/>
    </row>
    <row r="21">
      <c r="A21" s="15" t="inlineStr">
        <is>
          <t>W03</t>
        </is>
      </c>
      <c r="B21" s="15" t="inlineStr">
        <is>
          <t>стены</t>
        </is>
      </c>
      <c r="C21" s="15" t="inlineStr">
        <is>
          <t>Штукатурка механизированная гипсовая</t>
        </is>
      </c>
      <c r="D21" s="15" t="inlineStr">
        <is>
          <t>м2</t>
        </is>
      </c>
      <c r="E21" s="25" t="n">
        <v>14</v>
      </c>
      <c r="F21" s="25" t="n">
        <v>17</v>
      </c>
      <c r="G21" s="25" t="n">
        <v>20</v>
      </c>
      <c r="H21" s="15" t="inlineStr">
        <is>
          <t>нет</t>
        </is>
      </c>
      <c r="I21" s="15" t="inlineStr"/>
    </row>
    <row r="22">
      <c r="A22" s="15" t="inlineStr">
        <is>
          <t>W04</t>
        </is>
      </c>
      <c r="B22" s="15" t="inlineStr">
        <is>
          <t>стены</t>
        </is>
      </c>
      <c r="C22" s="15" t="inlineStr">
        <is>
          <t>Штукатурка потолка</t>
        </is>
      </c>
      <c r="D22" s="15" t="inlineStr">
        <is>
          <t>м2</t>
        </is>
      </c>
      <c r="E22" s="25" t="n">
        <v>18</v>
      </c>
      <c r="F22" s="25" t="n">
        <v>26</v>
      </c>
      <c r="G22" s="25" t="n">
        <v>45</v>
      </c>
      <c r="H22" s="15" t="inlineStr">
        <is>
          <t>нет</t>
        </is>
      </c>
      <c r="I22" s="15" t="inlineStr"/>
    </row>
    <row r="23">
      <c r="A23" s="15" t="inlineStr">
        <is>
          <t>W05</t>
        </is>
      </c>
      <c r="B23" s="15" t="inlineStr">
        <is>
          <t>стены</t>
        </is>
      </c>
      <c r="C23" s="15" t="inlineStr">
        <is>
          <t>Грунтовка</t>
        </is>
      </c>
      <c r="D23" s="15" t="inlineStr">
        <is>
          <t>м2</t>
        </is>
      </c>
      <c r="E23" s="25" t="n">
        <v>1.3</v>
      </c>
      <c r="F23" s="25" t="n">
        <v>2</v>
      </c>
      <c r="G23" s="25" t="n">
        <v>4</v>
      </c>
      <c r="H23" s="15" t="inlineStr">
        <is>
          <t>нет</t>
        </is>
      </c>
      <c r="I23" s="15" t="inlineStr"/>
    </row>
    <row r="24">
      <c r="A24" s="15" t="inlineStr">
        <is>
          <t>W06</t>
        </is>
      </c>
      <c r="B24" s="15" t="inlineStr">
        <is>
          <t>стены</t>
        </is>
      </c>
      <c r="C24" s="15" t="inlineStr">
        <is>
          <t>Армирование стеклосеткой сплошь</t>
        </is>
      </c>
      <c r="D24" s="15" t="inlineStr">
        <is>
          <t>м2</t>
        </is>
      </c>
      <c r="E24" s="25" t="n">
        <v>3</v>
      </c>
      <c r="F24" s="25" t="n">
        <v>6</v>
      </c>
      <c r="G24" s="25" t="n">
        <v>8</v>
      </c>
      <c r="H24" s="15" t="inlineStr">
        <is>
          <t>нет</t>
        </is>
      </c>
      <c r="I24" s="15" t="inlineStr"/>
    </row>
    <row r="25">
      <c r="A25" s="15" t="inlineStr">
        <is>
          <t>W07</t>
        </is>
      </c>
      <c r="B25" s="15" t="inlineStr">
        <is>
          <t>стены</t>
        </is>
      </c>
      <c r="C25" s="15" t="inlineStr">
        <is>
          <t>Стеклохолст (поклейка)</t>
        </is>
      </c>
      <c r="D25" s="15" t="inlineStr">
        <is>
          <t>м2</t>
        </is>
      </c>
      <c r="E25" s="25" t="n">
        <v>4.5</v>
      </c>
      <c r="F25" s="25" t="n">
        <v>9</v>
      </c>
      <c r="G25" s="25" t="n">
        <v>13.3</v>
      </c>
      <c r="H25" s="15" t="inlineStr">
        <is>
          <t>нет</t>
        </is>
      </c>
      <c r="I25" s="15" t="inlineStr"/>
    </row>
    <row r="26">
      <c r="A26" s="15" t="inlineStr">
        <is>
          <t>W08</t>
        </is>
      </c>
      <c r="B26" s="15" t="inlineStr">
        <is>
          <t>стены</t>
        </is>
      </c>
      <c r="C26" s="15" t="inlineStr">
        <is>
          <t>Шпаклёвка под обои (комплекс)</t>
        </is>
      </c>
      <c r="D26" s="15" t="inlineStr">
        <is>
          <t>м2</t>
        </is>
      </c>
      <c r="E26" s="25" t="n">
        <v>8</v>
      </c>
      <c r="F26" s="25" t="n">
        <v>14</v>
      </c>
      <c r="G26" s="25" t="n">
        <v>42</v>
      </c>
      <c r="H26" s="15" t="inlineStr">
        <is>
          <t>нет</t>
        </is>
      </c>
      <c r="I26" s="15" t="inlineStr"/>
    </row>
    <row r="27">
      <c r="A27" s="15" t="inlineStr">
        <is>
          <t>W09</t>
        </is>
      </c>
      <c r="B27" s="15" t="inlineStr">
        <is>
          <t>стены</t>
        </is>
      </c>
      <c r="C27" s="15" t="inlineStr">
        <is>
          <t>Шпаклёвка под покраску (комплекс, без стеклохолста)</t>
        </is>
      </c>
      <c r="D27" s="15" t="inlineStr">
        <is>
          <t>м2</t>
        </is>
      </c>
      <c r="E27" s="25" t="n">
        <v>16</v>
      </c>
      <c r="F27" s="25" t="n">
        <v>30</v>
      </c>
      <c r="G27" s="25" t="n">
        <v>45</v>
      </c>
      <c r="H27" s="15" t="inlineStr">
        <is>
          <t>нет</t>
        </is>
      </c>
      <c r="I27" s="15" t="inlineStr"/>
    </row>
    <row r="28">
      <c r="A28" s="15" t="inlineStr">
        <is>
          <t>W10</t>
        </is>
      </c>
      <c r="B28" s="15" t="inlineStr">
        <is>
          <t>стены</t>
        </is>
      </c>
      <c r="C28" s="15" t="inlineStr">
        <is>
          <t>Шпаклёвка 1 слой</t>
        </is>
      </c>
      <c r="D28" s="15" t="inlineStr">
        <is>
          <t>м2</t>
        </is>
      </c>
      <c r="E28" s="25" t="n">
        <v>2.65</v>
      </c>
      <c r="F28" s="25" t="n">
        <v>4</v>
      </c>
      <c r="G28" s="25" t="n">
        <v>6.6</v>
      </c>
      <c r="H28" s="15" t="inlineStr">
        <is>
          <t>нет</t>
        </is>
      </c>
      <c r="I28" s="15" t="inlineStr"/>
    </row>
    <row r="29">
      <c r="A29" s="15" t="inlineStr">
        <is>
          <t>W11</t>
        </is>
      </c>
      <c r="B29" s="15" t="inlineStr">
        <is>
          <t>стены</t>
        </is>
      </c>
      <c r="C29" s="15" t="inlineStr">
        <is>
          <t>Шлифовка</t>
        </is>
      </c>
      <c r="D29" s="15" t="inlineStr">
        <is>
          <t>м2</t>
        </is>
      </c>
      <c r="E29" s="25" t="n">
        <v>3</v>
      </c>
      <c r="F29" s="25" t="n">
        <v>6</v>
      </c>
      <c r="G29" s="25" t="n">
        <v>8.800000000000001</v>
      </c>
      <c r="H29" s="15" t="inlineStr">
        <is>
          <t>нет</t>
        </is>
      </c>
      <c r="I29" s="15" t="inlineStr"/>
    </row>
    <row r="30">
      <c r="A30" s="15" t="inlineStr">
        <is>
          <t>W12</t>
        </is>
      </c>
      <c r="B30" s="15" t="inlineStr">
        <is>
          <t>стены</t>
        </is>
      </c>
      <c r="C30" s="15" t="inlineStr">
        <is>
          <t>Перегородка ГКЛ 1 слой с каждой стороны</t>
        </is>
      </c>
      <c r="D30" s="15" t="inlineStr">
        <is>
          <t>м2</t>
        </is>
      </c>
      <c r="E30" s="25" t="n">
        <v>26.5</v>
      </c>
      <c r="F30" s="25" t="n">
        <v>50</v>
      </c>
      <c r="G30" s="25" t="n">
        <v>72</v>
      </c>
      <c r="H30" s="15" t="inlineStr">
        <is>
          <t>нет</t>
        </is>
      </c>
      <c r="I30" s="15" t="inlineStr"/>
    </row>
    <row r="31">
      <c r="A31" s="15" t="inlineStr">
        <is>
          <t>W13</t>
        </is>
      </c>
      <c r="B31" s="15" t="inlineStr">
        <is>
          <t>стены</t>
        </is>
      </c>
      <c r="C31" s="15" t="inlineStr">
        <is>
          <t>Перегородка ГКЛ 2 слоя</t>
        </is>
      </c>
      <c r="D31" s="15" t="inlineStr">
        <is>
          <t>м2</t>
        </is>
      </c>
      <c r="E31" s="25" t="n">
        <v>35</v>
      </c>
      <c r="F31" s="25" t="n">
        <v>55</v>
      </c>
      <c r="G31" s="25" t="n">
        <v>80</v>
      </c>
      <c r="H31" s="15" t="inlineStr">
        <is>
          <t>нет</t>
        </is>
      </c>
      <c r="I31" s="15" t="inlineStr"/>
    </row>
    <row r="32">
      <c r="A32" s="15" t="inlineStr">
        <is>
          <t>W14</t>
        </is>
      </c>
      <c r="B32" s="15" t="inlineStr">
        <is>
          <t>стены</t>
        </is>
      </c>
      <c r="C32" s="15" t="inlineStr">
        <is>
          <t>Звукоизоляция в каркас</t>
        </is>
      </c>
      <c r="D32" s="15" t="inlineStr">
        <is>
          <t>м2</t>
        </is>
      </c>
      <c r="E32" s="25" t="n">
        <v>11</v>
      </c>
      <c r="F32" s="25" t="n">
        <v>12</v>
      </c>
      <c r="G32" s="25" t="n">
        <v>12</v>
      </c>
      <c r="H32" s="15" t="inlineStr">
        <is>
          <t>нет</t>
        </is>
      </c>
      <c r="I32" s="15" t="inlineStr"/>
    </row>
    <row r="33">
      <c r="A33" s="15" t="inlineStr">
        <is>
          <t>W15</t>
        </is>
      </c>
      <c r="B33" s="15" t="inlineStr">
        <is>
          <t>стены</t>
        </is>
      </c>
      <c r="C33" s="15" t="inlineStr">
        <is>
          <t>Перегородка газосиликат до 150 мм</t>
        </is>
      </c>
      <c r="D33" s="15" t="inlineStr">
        <is>
          <t>м2</t>
        </is>
      </c>
      <c r="E33" s="25" t="n">
        <v>31</v>
      </c>
      <c r="F33" s="25" t="n">
        <v>32</v>
      </c>
      <c r="G33" s="25" t="n">
        <v>36</v>
      </c>
      <c r="H33" s="15" t="inlineStr">
        <is>
          <t>нет</t>
        </is>
      </c>
      <c r="I33" s="15" t="inlineStr"/>
    </row>
    <row r="34">
      <c r="A34" s="15" t="inlineStr">
        <is>
          <t>W16</t>
        </is>
      </c>
      <c r="B34" s="15" t="inlineStr">
        <is>
          <t>стены</t>
        </is>
      </c>
      <c r="C34" s="15" t="inlineStr">
        <is>
          <t>Перегородка ПГП 80 мм</t>
        </is>
      </c>
      <c r="D34" s="15" t="inlineStr">
        <is>
          <t>м2</t>
        </is>
      </c>
      <c r="E34" s="25" t="n">
        <v>35</v>
      </c>
      <c r="F34" s="25" t="n">
        <v>37</v>
      </c>
      <c r="G34" s="25" t="n">
        <v>45</v>
      </c>
      <c r="H34" s="15" t="inlineStr">
        <is>
          <t>нет</t>
        </is>
      </c>
      <c r="I34" s="15" t="inlineStr"/>
    </row>
    <row r="35">
      <c r="A35" s="15" t="inlineStr">
        <is>
          <t>W17</t>
        </is>
      </c>
      <c r="B35" s="15" t="inlineStr">
        <is>
          <t>стены</t>
        </is>
      </c>
      <c r="C35" s="15" t="inlineStr">
        <is>
          <t>Перегородка керамзитобетон 100 мм</t>
        </is>
      </c>
      <c r="D35" s="15" t="inlineStr">
        <is>
          <t>м2</t>
        </is>
      </c>
      <c r="E35" s="25" t="n">
        <v>35</v>
      </c>
      <c r="F35" s="25" t="n">
        <v>36</v>
      </c>
      <c r="G35" s="25" t="n">
        <v>40</v>
      </c>
      <c r="H35" s="15" t="inlineStr">
        <is>
          <t>нет</t>
        </is>
      </c>
      <c r="I35" s="15" t="inlineStr"/>
    </row>
    <row r="36">
      <c r="A36" s="15" t="inlineStr">
        <is>
          <t>W18</t>
        </is>
      </c>
      <c r="B36" s="15" t="inlineStr">
        <is>
          <t>стены</t>
        </is>
      </c>
      <c r="C36" s="15" t="inlineStr">
        <is>
          <t>Кирпич 1/2 с армированием</t>
        </is>
      </c>
      <c r="D36" s="15" t="inlineStr">
        <is>
          <t>м2</t>
        </is>
      </c>
      <c r="E36" s="25" t="n">
        <v>60</v>
      </c>
      <c r="F36" s="25" t="n">
        <v>60</v>
      </c>
      <c r="G36" s="25" t="n">
        <v>75</v>
      </c>
      <c r="H36" s="15" t="inlineStr">
        <is>
          <t>нет</t>
        </is>
      </c>
      <c r="I36" s="15" t="inlineStr"/>
    </row>
    <row r="37">
      <c r="A37" s="15" t="inlineStr">
        <is>
          <t>W19</t>
        </is>
      </c>
      <c r="B37" s="15" t="inlineStr">
        <is>
          <t>стены</t>
        </is>
      </c>
      <c r="C37" s="15" t="inlineStr">
        <is>
          <t>Закладка проёма</t>
        </is>
      </c>
      <c r="D37" s="15" t="inlineStr">
        <is>
          <t>м2</t>
        </is>
      </c>
      <c r="E37" s="25" t="n">
        <v>100</v>
      </c>
      <c r="F37" s="25" t="n">
        <v>110</v>
      </c>
      <c r="G37" s="25" t="n">
        <v>150</v>
      </c>
      <c r="H37" s="15" t="inlineStr">
        <is>
          <t>нет</t>
        </is>
      </c>
      <c r="I37" s="15" t="inlineStr"/>
    </row>
    <row r="38">
      <c r="A38" s="15" t="inlineStr">
        <is>
          <t>C01</t>
        </is>
      </c>
      <c r="B38" s="15" t="inlineStr">
        <is>
          <t>потолки</t>
        </is>
      </c>
      <c r="C38" s="15" t="inlineStr">
        <is>
          <t>Потолок ГКЛ одноуровневый 1 слой</t>
        </is>
      </c>
      <c r="D38" s="15" t="inlineStr">
        <is>
          <t>м2</t>
        </is>
      </c>
      <c r="E38" s="25" t="n">
        <v>30</v>
      </c>
      <c r="F38" s="25" t="n">
        <v>45</v>
      </c>
      <c r="G38" s="25" t="n">
        <v>50</v>
      </c>
      <c r="H38" s="15" t="inlineStr">
        <is>
          <t>нет</t>
        </is>
      </c>
      <c r="I38" s="15" t="inlineStr"/>
    </row>
    <row r="39">
      <c r="A39" s="15" t="inlineStr">
        <is>
          <t>C02</t>
        </is>
      </c>
      <c r="B39" s="15" t="inlineStr">
        <is>
          <t>потолки</t>
        </is>
      </c>
      <c r="C39" s="15" t="inlineStr">
        <is>
          <t>Короб/2-й уровень ГКЛ</t>
        </is>
      </c>
      <c r="D39" s="15" t="inlineStr">
        <is>
          <t>м.п.</t>
        </is>
      </c>
      <c r="E39" s="25" t="n">
        <v>35</v>
      </c>
      <c r="F39" s="25" t="n">
        <v>48</v>
      </c>
      <c r="G39" s="25" t="n">
        <v>60</v>
      </c>
      <c r="H39" s="15" t="inlineStr">
        <is>
          <t>нет</t>
        </is>
      </c>
      <c r="I39" s="15" t="inlineStr"/>
    </row>
    <row r="40">
      <c r="A40" s="15" t="inlineStr">
        <is>
          <t>C03</t>
        </is>
      </c>
      <c r="B40" s="15" t="inlineStr">
        <is>
          <t>потолки</t>
        </is>
      </c>
      <c r="C40" s="15" t="inlineStr">
        <is>
          <t>Натяжной ПВХ мат/сатин</t>
        </is>
      </c>
      <c r="D40" s="15" t="inlineStr">
        <is>
          <t>м2</t>
        </is>
      </c>
      <c r="E40" s="25" t="n">
        <v>18</v>
      </c>
      <c r="F40" s="25" t="n">
        <v>28</v>
      </c>
      <c r="G40" s="25" t="n">
        <v>40</v>
      </c>
      <c r="H40" s="15" t="inlineStr">
        <is>
          <t>да</t>
        </is>
      </c>
      <c r="I40" s="15" t="inlineStr"/>
    </row>
    <row r="41">
      <c r="A41" s="15" t="inlineStr">
        <is>
          <t>C04</t>
        </is>
      </c>
      <c r="B41" s="15" t="inlineStr">
        <is>
          <t>потолки</t>
        </is>
      </c>
      <c r="C41" s="15" t="inlineStr">
        <is>
          <t>Натяжной тканевый</t>
        </is>
      </c>
      <c r="D41" s="15" t="inlineStr">
        <is>
          <t>м2</t>
        </is>
      </c>
      <c r="E41" s="25" t="n">
        <v>50</v>
      </c>
      <c r="F41" s="25" t="n">
        <v>60</v>
      </c>
      <c r="G41" s="25" t="n">
        <v>77</v>
      </c>
      <c r="H41" s="15" t="inlineStr">
        <is>
          <t>да</t>
        </is>
      </c>
      <c r="I41" s="15" t="inlineStr"/>
    </row>
    <row r="42">
      <c r="A42" s="15" t="inlineStr">
        <is>
          <t>C05</t>
        </is>
      </c>
      <c r="B42" s="15" t="inlineStr">
        <is>
          <t>потолки</t>
        </is>
      </c>
      <c r="C42" s="15" t="inlineStr">
        <is>
          <t>Теневой профиль</t>
        </is>
      </c>
      <c r="D42" s="15" t="inlineStr">
        <is>
          <t>м.п.</t>
        </is>
      </c>
      <c r="E42" s="25" t="n">
        <v>10</v>
      </c>
      <c r="F42" s="25" t="n">
        <v>21</v>
      </c>
      <c r="G42" s="25" t="n">
        <v>39</v>
      </c>
      <c r="H42" s="15" t="inlineStr">
        <is>
          <t>да</t>
        </is>
      </c>
      <c r="I42" s="15" t="inlineStr"/>
    </row>
    <row r="43">
      <c r="A43" s="15" t="inlineStr">
        <is>
          <t>C06</t>
        </is>
      </c>
      <c r="B43" s="15" t="inlineStr">
        <is>
          <t>потолки</t>
        </is>
      </c>
      <c r="C43" s="15" t="inlineStr">
        <is>
          <t>Световые линии</t>
        </is>
      </c>
      <c r="D43" s="15" t="inlineStr">
        <is>
          <t>м.п.</t>
        </is>
      </c>
      <c r="E43" s="25" t="n">
        <v>78</v>
      </c>
      <c r="F43" s="25" t="n">
        <v>100</v>
      </c>
      <c r="G43" s="25" t="n">
        <v>111</v>
      </c>
      <c r="H43" s="15" t="inlineStr">
        <is>
          <t>да</t>
        </is>
      </c>
      <c r="I43" s="15" t="inlineStr"/>
    </row>
    <row r="44">
      <c r="A44" s="15" t="inlineStr">
        <is>
          <t>C07</t>
        </is>
      </c>
      <c r="B44" s="15" t="inlineStr">
        <is>
          <t>потолки</t>
        </is>
      </c>
      <c r="C44" s="15" t="inlineStr">
        <is>
          <t>Откосы штукатурные</t>
        </is>
      </c>
      <c r="D44" s="15" t="inlineStr">
        <is>
          <t>м.п.</t>
        </is>
      </c>
      <c r="E44" s="25" t="n">
        <v>11</v>
      </c>
      <c r="F44" s="25" t="n">
        <v>18</v>
      </c>
      <c r="G44" s="25" t="n">
        <v>27</v>
      </c>
      <c r="H44" s="15" t="inlineStr">
        <is>
          <t>нет</t>
        </is>
      </c>
      <c r="I44" s="15" t="inlineStr"/>
    </row>
    <row r="45">
      <c r="A45" s="15" t="inlineStr">
        <is>
          <t>C08</t>
        </is>
      </c>
      <c r="B45" s="15" t="inlineStr">
        <is>
          <t>потолки</t>
        </is>
      </c>
      <c r="C45" s="15" t="inlineStr">
        <is>
          <t>Откосы под ключ (штук+шпакл+покраска)</t>
        </is>
      </c>
      <c r="D45" s="15" t="inlineStr">
        <is>
          <t>м.п.</t>
        </is>
      </c>
      <c r="E45" s="25" t="n">
        <v>25</v>
      </c>
      <c r="F45" s="25" t="n">
        <v>45</v>
      </c>
      <c r="G45" s="25" t="n">
        <v>63</v>
      </c>
      <c r="H45" s="15" t="inlineStr">
        <is>
          <t>нет</t>
        </is>
      </c>
      <c r="I45" s="15" t="inlineStr"/>
    </row>
    <row r="46">
      <c r="A46" s="15" t="inlineStr">
        <is>
          <t>F01</t>
        </is>
      </c>
      <c r="B46" s="15" t="inlineStr">
        <is>
          <t>полы</t>
        </is>
      </c>
      <c r="C46" s="15" t="inlineStr">
        <is>
          <t>Стяжка ЦПС по маякам до 50 мм</t>
        </is>
      </c>
      <c r="D46" s="15" t="inlineStr">
        <is>
          <t>м2</t>
        </is>
      </c>
      <c r="E46" s="25" t="n">
        <v>11</v>
      </c>
      <c r="F46" s="25" t="n">
        <v>18</v>
      </c>
      <c r="G46" s="25" t="n">
        <v>40</v>
      </c>
      <c r="H46" s="15" t="inlineStr">
        <is>
          <t>нет</t>
        </is>
      </c>
      <c r="I46" s="15" t="inlineStr"/>
    </row>
    <row r="47">
      <c r="A47" s="15" t="inlineStr">
        <is>
          <t>F02</t>
        </is>
      </c>
      <c r="B47" s="15" t="inlineStr">
        <is>
          <t>полы</t>
        </is>
      </c>
      <c r="C47" s="15" t="inlineStr">
        <is>
          <t>Стяжка ЦПС с материалом (&gt;100 м2)</t>
        </is>
      </c>
      <c r="D47" s="15" t="inlineStr">
        <is>
          <t>м2</t>
        </is>
      </c>
      <c r="E47" s="25" t="n">
        <v>17.5</v>
      </c>
      <c r="F47" s="25" t="n">
        <v>18</v>
      </c>
      <c r="G47" s="25" t="n">
        <v>18.5</v>
      </c>
      <c r="H47" s="15" t="inlineStr">
        <is>
          <t>да</t>
        </is>
      </c>
      <c r="I47" s="15" t="inlineStr"/>
    </row>
    <row r="48">
      <c r="A48" s="15" t="inlineStr">
        <is>
          <t>F03</t>
        </is>
      </c>
      <c r="B48" s="15" t="inlineStr">
        <is>
          <t>полы</t>
        </is>
      </c>
      <c r="C48" s="15" t="inlineStr">
        <is>
          <t>Полусухая стяжка механизированная</t>
        </is>
      </c>
      <c r="D48" s="15" t="inlineStr">
        <is>
          <t>м2</t>
        </is>
      </c>
      <c r="E48" s="25" t="n">
        <v>11</v>
      </c>
      <c r="F48" s="25" t="n">
        <v>17.5</v>
      </c>
      <c r="G48" s="25" t="n">
        <v>50</v>
      </c>
      <c r="H48" s="15" t="inlineStr">
        <is>
          <t>частично</t>
        </is>
      </c>
      <c r="I48" s="15" t="inlineStr">
        <is>
          <t>17,5 — с материалом на большом объёме</t>
        </is>
      </c>
    </row>
    <row r="49">
      <c r="A49" s="15" t="inlineStr">
        <is>
          <t>F04</t>
        </is>
      </c>
      <c r="B49" s="15" t="inlineStr">
        <is>
          <t>полы</t>
        </is>
      </c>
      <c r="C49" s="15" t="inlineStr">
        <is>
          <t>Наливной пол / самонивелир до 15 мм</t>
        </is>
      </c>
      <c r="D49" s="15" t="inlineStr">
        <is>
          <t>м2</t>
        </is>
      </c>
      <c r="E49" s="25" t="n">
        <v>14</v>
      </c>
      <c r="F49" s="25" t="n">
        <v>18</v>
      </c>
      <c r="G49" s="25" t="n">
        <v>29</v>
      </c>
      <c r="H49" s="15" t="inlineStr">
        <is>
          <t>нет</t>
        </is>
      </c>
      <c r="I49" s="15" t="inlineStr"/>
    </row>
    <row r="50">
      <c r="A50" s="15" t="inlineStr">
        <is>
          <t>F05</t>
        </is>
      </c>
      <c r="B50" s="15" t="inlineStr">
        <is>
          <t>полы</t>
        </is>
      </c>
      <c r="C50" s="15" t="inlineStr">
        <is>
          <t>Гидроизоляция обмазочная 2 слоя</t>
        </is>
      </c>
      <c r="D50" s="15" t="inlineStr">
        <is>
          <t>м2</t>
        </is>
      </c>
      <c r="E50" s="25" t="n">
        <v>7.5</v>
      </c>
      <c r="F50" s="25" t="n">
        <v>10</v>
      </c>
      <c r="G50" s="25" t="n">
        <v>13.3</v>
      </c>
      <c r="H50" s="15" t="inlineStr">
        <is>
          <t>нет</t>
        </is>
      </c>
      <c r="I50" s="15" t="inlineStr"/>
    </row>
    <row r="51">
      <c r="A51" s="15" t="inlineStr">
        <is>
          <t>F06</t>
        </is>
      </c>
      <c r="B51" s="15" t="inlineStr">
        <is>
          <t>полы</t>
        </is>
      </c>
      <c r="C51" s="15" t="inlineStr">
        <is>
          <t>Тёплый пол мат</t>
        </is>
      </c>
      <c r="D51" s="15" t="inlineStr">
        <is>
          <t>м2</t>
        </is>
      </c>
      <c r="E51" s="25" t="n">
        <v>15</v>
      </c>
      <c r="F51" s="25" t="n">
        <v>22</v>
      </c>
      <c r="G51" s="25" t="n">
        <v>60</v>
      </c>
      <c r="H51" s="15" t="inlineStr">
        <is>
          <t>нет</t>
        </is>
      </c>
      <c r="I51" s="15" t="inlineStr"/>
    </row>
    <row r="52">
      <c r="A52" s="15" t="inlineStr">
        <is>
          <t>F07</t>
        </is>
      </c>
      <c r="B52" s="15" t="inlineStr">
        <is>
          <t>полы</t>
        </is>
      </c>
      <c r="C52" s="15" t="inlineStr">
        <is>
          <t>Тёплый пол кабель</t>
        </is>
      </c>
      <c r="D52" s="15" t="inlineStr">
        <is>
          <t>м2</t>
        </is>
      </c>
      <c r="E52" s="25" t="n">
        <v>30</v>
      </c>
      <c r="F52" s="25" t="n">
        <v>44</v>
      </c>
      <c r="G52" s="25" t="n">
        <v>60</v>
      </c>
      <c r="H52" s="15" t="inlineStr">
        <is>
          <t>нет</t>
        </is>
      </c>
      <c r="I52" s="15" t="inlineStr">
        <is>
          <t>оценка</t>
        </is>
      </c>
    </row>
    <row r="53">
      <c r="A53" s="15" t="inlineStr">
        <is>
          <t>F08</t>
        </is>
      </c>
      <c r="B53" s="15" t="inlineStr">
        <is>
          <t>полы</t>
        </is>
      </c>
      <c r="C53" s="15" t="inlineStr">
        <is>
          <t>Тёплый пол водяной (трубы без стяжки)</t>
        </is>
      </c>
      <c r="D53" s="15" t="inlineStr">
        <is>
          <t>м2</t>
        </is>
      </c>
      <c r="E53" s="25" t="n">
        <v>13</v>
      </c>
      <c r="F53" s="25" t="n">
        <v>25</v>
      </c>
      <c r="G53" s="25" t="n">
        <v>40</v>
      </c>
      <c r="H53" s="15" t="inlineStr">
        <is>
          <t>нет</t>
        </is>
      </c>
      <c r="I53" s="15" t="inlineStr"/>
    </row>
    <row r="54">
      <c r="A54" s="15" t="inlineStr">
        <is>
          <t>F09</t>
        </is>
      </c>
      <c r="B54" s="15" t="inlineStr">
        <is>
          <t>полы</t>
        </is>
      </c>
      <c r="C54" s="15" t="inlineStr">
        <is>
          <t>Плитка керамическая стандарт</t>
        </is>
      </c>
      <c r="D54" s="15" t="inlineStr">
        <is>
          <t>м2</t>
        </is>
      </c>
      <c r="E54" s="25" t="n">
        <v>25</v>
      </c>
      <c r="F54" s="25" t="n">
        <v>45</v>
      </c>
      <c r="G54" s="25" t="n">
        <v>70</v>
      </c>
      <c r="H54" s="15" t="inlineStr">
        <is>
          <t>нет</t>
        </is>
      </c>
      <c r="I54" s="15" t="inlineStr"/>
    </row>
    <row r="55">
      <c r="A55" s="15" t="inlineStr">
        <is>
          <t>F10</t>
        </is>
      </c>
      <c r="B55" s="15" t="inlineStr">
        <is>
          <t>полы</t>
        </is>
      </c>
      <c r="C55" s="15" t="inlineStr">
        <is>
          <t>Керамогранит средний формат</t>
        </is>
      </c>
      <c r="D55" s="15" t="inlineStr">
        <is>
          <t>м2</t>
        </is>
      </c>
      <c r="E55" s="25" t="n">
        <v>35</v>
      </c>
      <c r="F55" s="25" t="n">
        <v>55</v>
      </c>
      <c r="G55" s="25" t="n">
        <v>95</v>
      </c>
      <c r="H55" s="15" t="inlineStr">
        <is>
          <t>нет</t>
        </is>
      </c>
      <c r="I55" s="15" t="inlineStr"/>
    </row>
    <row r="56">
      <c r="A56" s="15" t="inlineStr">
        <is>
          <t>F11</t>
        </is>
      </c>
      <c r="B56" s="15" t="inlineStr">
        <is>
          <t>полы</t>
        </is>
      </c>
      <c r="C56" s="15" t="inlineStr">
        <is>
          <t>Крупноформат 60×120+</t>
        </is>
      </c>
      <c r="D56" s="15" t="inlineStr">
        <is>
          <t>м2</t>
        </is>
      </c>
      <c r="E56" s="25" t="n">
        <v>45</v>
      </c>
      <c r="F56" s="25" t="n">
        <v>65</v>
      </c>
      <c r="G56" s="25" t="n">
        <v>120</v>
      </c>
      <c r="H56" s="15" t="inlineStr">
        <is>
          <t>нет</t>
        </is>
      </c>
      <c r="I56" s="15" t="inlineStr"/>
    </row>
    <row r="57">
      <c r="A57" s="15" t="inlineStr">
        <is>
          <t>F12</t>
        </is>
      </c>
      <c r="B57" s="15" t="inlineStr">
        <is>
          <t>полы</t>
        </is>
      </c>
      <c r="C57" s="15" t="inlineStr">
        <is>
          <t>Плитка по диагонали</t>
        </is>
      </c>
      <c r="D57" s="15" t="inlineStr">
        <is>
          <t>м2</t>
        </is>
      </c>
      <c r="E57" s="25" t="n">
        <v>35</v>
      </c>
      <c r="F57" s="25" t="n">
        <v>58</v>
      </c>
      <c r="G57" s="25" t="n">
        <v>71</v>
      </c>
      <c r="H57" s="15" t="inlineStr">
        <is>
          <t>нет</t>
        </is>
      </c>
      <c r="I57" s="15" t="inlineStr"/>
    </row>
    <row r="58">
      <c r="A58" s="15" t="inlineStr">
        <is>
          <t>F13</t>
        </is>
      </c>
      <c r="B58" s="15" t="inlineStr">
        <is>
          <t>полы</t>
        </is>
      </c>
      <c r="C58" s="15" t="inlineStr">
        <is>
          <t>Мозаика</t>
        </is>
      </c>
      <c r="D58" s="15" t="inlineStr">
        <is>
          <t>м2</t>
        </is>
      </c>
      <c r="E58" s="25" t="n">
        <v>40</v>
      </c>
      <c r="F58" s="25" t="n">
        <v>80</v>
      </c>
      <c r="G58" s="25" t="n">
        <v>140</v>
      </c>
      <c r="H58" s="15" t="inlineStr">
        <is>
          <t>нет</t>
        </is>
      </c>
      <c r="I58" s="15" t="inlineStr"/>
    </row>
    <row r="59">
      <c r="A59" s="15" t="inlineStr">
        <is>
          <t>F14</t>
        </is>
      </c>
      <c r="B59" s="15" t="inlineStr">
        <is>
          <t>полы</t>
        </is>
      </c>
      <c r="C59" s="15" t="inlineStr">
        <is>
          <t>Ламинат прямо</t>
        </is>
      </c>
      <c r="D59" s="15" t="inlineStr">
        <is>
          <t>м2</t>
        </is>
      </c>
      <c r="E59" s="25" t="n">
        <v>7.5</v>
      </c>
      <c r="F59" s="25" t="n">
        <v>12</v>
      </c>
      <c r="G59" s="25" t="n">
        <v>18</v>
      </c>
      <c r="H59" s="15" t="inlineStr">
        <is>
          <t>нет</t>
        </is>
      </c>
      <c r="I59" s="15" t="inlineStr"/>
    </row>
    <row r="60">
      <c r="A60" s="15" t="inlineStr">
        <is>
          <t>F15</t>
        </is>
      </c>
      <c r="B60" s="15" t="inlineStr">
        <is>
          <t>полы</t>
        </is>
      </c>
      <c r="C60" s="15" t="inlineStr">
        <is>
          <t>Ламинат диагональ</t>
        </is>
      </c>
      <c r="D60" s="15" t="inlineStr">
        <is>
          <t>м2</t>
        </is>
      </c>
      <c r="E60" s="25" t="n">
        <v>10.5</v>
      </c>
      <c r="F60" s="25" t="n">
        <v>15</v>
      </c>
      <c r="G60" s="25" t="n">
        <v>17</v>
      </c>
      <c r="H60" s="15" t="inlineStr">
        <is>
          <t>нет</t>
        </is>
      </c>
      <c r="I60" s="15" t="inlineStr"/>
    </row>
    <row r="61">
      <c r="A61" s="15" t="inlineStr">
        <is>
          <t>F16</t>
        </is>
      </c>
      <c r="B61" s="15" t="inlineStr">
        <is>
          <t>полы</t>
        </is>
      </c>
      <c r="C61" s="15" t="inlineStr">
        <is>
          <t>Кварцвинил/SPC замковый</t>
        </is>
      </c>
      <c r="D61" s="15" t="inlineStr">
        <is>
          <t>м2</t>
        </is>
      </c>
      <c r="E61" s="25" t="n">
        <v>7.5</v>
      </c>
      <c r="F61" s="25" t="n">
        <v>17.5</v>
      </c>
      <c r="G61" s="25" t="n">
        <v>20</v>
      </c>
      <c r="H61" s="15" t="inlineStr">
        <is>
          <t>нет</t>
        </is>
      </c>
      <c r="I61" s="15" t="inlineStr"/>
    </row>
    <row r="62">
      <c r="A62" s="15" t="inlineStr">
        <is>
          <t>F17</t>
        </is>
      </c>
      <c r="B62" s="15" t="inlineStr">
        <is>
          <t>полы</t>
        </is>
      </c>
      <c r="C62" s="15" t="inlineStr">
        <is>
          <t>Кварцвинил клеевой</t>
        </is>
      </c>
      <c r="D62" s="15" t="inlineStr">
        <is>
          <t>м2</t>
        </is>
      </c>
      <c r="E62" s="25" t="n">
        <v>25</v>
      </c>
      <c r="F62" s="25" t="n">
        <v>30</v>
      </c>
      <c r="G62" s="25" t="n">
        <v>39</v>
      </c>
      <c r="H62" s="15" t="inlineStr">
        <is>
          <t>нет</t>
        </is>
      </c>
      <c r="I62" s="15" t="inlineStr"/>
    </row>
    <row r="63">
      <c r="A63" s="15" t="inlineStr">
        <is>
          <t>F18</t>
        </is>
      </c>
      <c r="B63" s="15" t="inlineStr">
        <is>
          <t>полы</t>
        </is>
      </c>
      <c r="C63" s="15" t="inlineStr">
        <is>
          <t>Паркетная доска на клей</t>
        </is>
      </c>
      <c r="D63" s="15" t="inlineStr">
        <is>
          <t>м2</t>
        </is>
      </c>
      <c r="E63" s="25" t="n">
        <v>17</v>
      </c>
      <c r="F63" s="25" t="n">
        <v>40</v>
      </c>
      <c r="G63" s="25" t="n">
        <v>50</v>
      </c>
      <c r="H63" s="15" t="inlineStr">
        <is>
          <t>нет</t>
        </is>
      </c>
      <c r="I63" s="15" t="inlineStr"/>
    </row>
    <row r="64">
      <c r="A64" s="15" t="inlineStr">
        <is>
          <t>F19</t>
        </is>
      </c>
      <c r="B64" s="15" t="inlineStr">
        <is>
          <t>полы</t>
        </is>
      </c>
      <c r="C64" s="15" t="inlineStr">
        <is>
          <t>Плинтус ПВХ</t>
        </is>
      </c>
      <c r="D64" s="15" t="inlineStr">
        <is>
          <t>м.п.</t>
        </is>
      </c>
      <c r="E64" s="25" t="n">
        <v>4.5</v>
      </c>
      <c r="F64" s="25" t="n">
        <v>7</v>
      </c>
      <c r="G64" s="25" t="n">
        <v>8</v>
      </c>
      <c r="H64" s="15" t="inlineStr">
        <is>
          <t>нет</t>
        </is>
      </c>
      <c r="I64" s="15" t="inlineStr"/>
    </row>
    <row r="65">
      <c r="A65" s="15" t="inlineStr">
        <is>
          <t>F20</t>
        </is>
      </c>
      <c r="B65" s="15" t="inlineStr">
        <is>
          <t>полы</t>
        </is>
      </c>
      <c r="C65" s="15" t="inlineStr">
        <is>
          <t>Плинтус МДФ/дюрополимер</t>
        </is>
      </c>
      <c r="D65" s="15" t="inlineStr">
        <is>
          <t>м.п.</t>
        </is>
      </c>
      <c r="E65" s="25" t="n">
        <v>9</v>
      </c>
      <c r="F65" s="25" t="n">
        <v>19</v>
      </c>
      <c r="G65" s="25" t="n">
        <v>22</v>
      </c>
      <c r="H65" s="15" t="inlineStr">
        <is>
          <t>нет</t>
        </is>
      </c>
      <c r="I65" s="15" t="inlineStr"/>
    </row>
    <row r="66">
      <c r="A66" s="15" t="inlineStr">
        <is>
          <t>F21</t>
        </is>
      </c>
      <c r="B66" s="15" t="inlineStr">
        <is>
          <t>полы</t>
        </is>
      </c>
      <c r="C66" s="15" t="inlineStr">
        <is>
          <t>Плинтус алюминиевый скрытый</t>
        </is>
      </c>
      <c r="D66" s="15" t="inlineStr">
        <is>
          <t>м.п.</t>
        </is>
      </c>
      <c r="E66" s="25" t="n">
        <v>25</v>
      </c>
      <c r="F66" s="25" t="n">
        <v>30</v>
      </c>
      <c r="G66" s="25" t="n">
        <v>35</v>
      </c>
      <c r="H66" s="15" t="inlineStr">
        <is>
          <t>нет</t>
        </is>
      </c>
      <c r="I66" s="15" t="inlineStr">
        <is>
          <t>оценка</t>
        </is>
      </c>
    </row>
    <row r="67">
      <c r="A67" s="15" t="inlineStr">
        <is>
          <t>F22</t>
        </is>
      </c>
      <c r="B67" s="15" t="inlineStr">
        <is>
          <t>полы</t>
        </is>
      </c>
      <c r="C67" s="15" t="inlineStr">
        <is>
          <t>Порожек/компенсационный шов</t>
        </is>
      </c>
      <c r="D67" s="15" t="inlineStr">
        <is>
          <t>шт</t>
        </is>
      </c>
      <c r="E67" s="25" t="n">
        <v>15</v>
      </c>
      <c r="F67" s="25" t="n">
        <v>25</v>
      </c>
      <c r="G67" s="25" t="n">
        <v>35</v>
      </c>
      <c r="H67" s="15" t="inlineStr">
        <is>
          <t>нет</t>
        </is>
      </c>
      <c r="I67" s="15" t="inlineStr">
        <is>
          <t>оценка</t>
        </is>
      </c>
    </row>
    <row r="68">
      <c r="A68" s="15" t="inlineStr">
        <is>
          <t>E01</t>
        </is>
      </c>
      <c r="B68" s="15" t="inlineStr">
        <is>
          <t>электрика</t>
        </is>
      </c>
      <c r="C68" s="15" t="inlineStr">
        <is>
          <t>Штроба бетон</t>
        </is>
      </c>
      <c r="D68" s="15" t="inlineStr">
        <is>
          <t>м.п.</t>
        </is>
      </c>
      <c r="E68" s="25" t="n">
        <v>6.5</v>
      </c>
      <c r="F68" s="25" t="n">
        <v>12</v>
      </c>
      <c r="G68" s="25" t="n">
        <v>15</v>
      </c>
      <c r="H68" s="15" t="inlineStr">
        <is>
          <t>нет</t>
        </is>
      </c>
      <c r="I68" s="15" t="inlineStr"/>
    </row>
    <row r="69">
      <c r="A69" s="15" t="inlineStr">
        <is>
          <t>E02</t>
        </is>
      </c>
      <c r="B69" s="15" t="inlineStr">
        <is>
          <t>электрика</t>
        </is>
      </c>
      <c r="C69" s="15" t="inlineStr">
        <is>
          <t>Штроба кирпич</t>
        </is>
      </c>
      <c r="D69" s="15" t="inlineStr">
        <is>
          <t>м.п.</t>
        </is>
      </c>
      <c r="E69" s="25" t="n">
        <v>4</v>
      </c>
      <c r="F69" s="25" t="n">
        <v>8</v>
      </c>
      <c r="G69" s="25" t="n">
        <v>10</v>
      </c>
      <c r="H69" s="15" t="inlineStr">
        <is>
          <t>нет</t>
        </is>
      </c>
      <c r="I69" s="15" t="inlineStr"/>
    </row>
    <row r="70">
      <c r="A70" s="15" t="inlineStr">
        <is>
          <t>E03</t>
        </is>
      </c>
      <c r="B70" s="15" t="inlineStr">
        <is>
          <t>электрика</t>
        </is>
      </c>
      <c r="C70" s="15" t="inlineStr">
        <is>
          <t>Штроба газосиликат</t>
        </is>
      </c>
      <c r="D70" s="15" t="inlineStr">
        <is>
          <t>м.п.</t>
        </is>
      </c>
      <c r="E70" s="25" t="n">
        <v>1.5</v>
      </c>
      <c r="F70" s="25" t="n">
        <v>5</v>
      </c>
      <c r="G70" s="25" t="n">
        <v>6</v>
      </c>
      <c r="H70" s="15" t="inlineStr">
        <is>
          <t>нет</t>
        </is>
      </c>
      <c r="I70" s="15" t="inlineStr"/>
    </row>
    <row r="71">
      <c r="A71" s="15" t="inlineStr">
        <is>
          <t>E04</t>
        </is>
      </c>
      <c r="B71" s="15" t="inlineStr">
        <is>
          <t>электрика</t>
        </is>
      </c>
      <c r="C71" s="15" t="inlineStr">
        <is>
          <t>Прокладка кабеля 1,5–2,5</t>
        </is>
      </c>
      <c r="D71" s="15" t="inlineStr">
        <is>
          <t>м.п.</t>
        </is>
      </c>
      <c r="E71" s="25" t="n">
        <v>2.2</v>
      </c>
      <c r="F71" s="25" t="n">
        <v>3.3</v>
      </c>
      <c r="G71" s="25" t="n">
        <v>8</v>
      </c>
      <c r="H71" s="15" t="inlineStr">
        <is>
          <t>нет</t>
        </is>
      </c>
      <c r="I71" s="15" t="inlineStr"/>
    </row>
    <row r="72">
      <c r="A72" s="15" t="inlineStr">
        <is>
          <t>E05</t>
        </is>
      </c>
      <c r="B72" s="15" t="inlineStr">
        <is>
          <t>электрика</t>
        </is>
      </c>
      <c r="C72" s="15" t="inlineStr">
        <is>
          <t>Подрозетник (гнездо + монтаж, бетон)</t>
        </is>
      </c>
      <c r="D72" s="15" t="inlineStr">
        <is>
          <t>шт</t>
        </is>
      </c>
      <c r="E72" s="25" t="n">
        <v>3.5</v>
      </c>
      <c r="F72" s="25" t="n">
        <v>17</v>
      </c>
      <c r="G72" s="25" t="n">
        <v>19</v>
      </c>
      <c r="H72" s="15" t="inlineStr">
        <is>
          <t>нет</t>
        </is>
      </c>
      <c r="I72" s="15" t="inlineStr"/>
    </row>
    <row r="73">
      <c r="A73" s="15" t="inlineStr">
        <is>
          <t>E06</t>
        </is>
      </c>
      <c r="B73" s="15" t="inlineStr">
        <is>
          <t>электрика</t>
        </is>
      </c>
      <c r="C73" s="15" t="inlineStr">
        <is>
          <t>Розетка/выключатель механизм</t>
        </is>
      </c>
      <c r="D73" s="15" t="inlineStr">
        <is>
          <t>шт</t>
        </is>
      </c>
      <c r="E73" s="25" t="n">
        <v>3.6</v>
      </c>
      <c r="F73" s="25" t="n">
        <v>8</v>
      </c>
      <c r="G73" s="25" t="n">
        <v>15</v>
      </c>
      <c r="H73" s="15" t="inlineStr">
        <is>
          <t>нет</t>
        </is>
      </c>
      <c r="I73" s="15" t="inlineStr"/>
    </row>
    <row r="74">
      <c r="A74" s="15" t="inlineStr">
        <is>
          <t>E07</t>
        </is>
      </c>
      <c r="B74" s="15" t="inlineStr">
        <is>
          <t>электрика</t>
        </is>
      </c>
      <c r="C74" s="15" t="inlineStr">
        <is>
          <t>Точка света</t>
        </is>
      </c>
      <c r="D74" s="15" t="inlineStr">
        <is>
          <t>шт</t>
        </is>
      </c>
      <c r="E74" s="25" t="n">
        <v>15</v>
      </c>
      <c r="F74" s="25" t="n">
        <v>35</v>
      </c>
      <c r="G74" s="25" t="n">
        <v>60</v>
      </c>
      <c r="H74" s="15" t="inlineStr">
        <is>
          <t>нет</t>
        </is>
      </c>
      <c r="I74" s="15" t="inlineStr"/>
    </row>
    <row r="75">
      <c r="A75" s="15" t="inlineStr">
        <is>
          <t>E08</t>
        </is>
      </c>
      <c r="B75" s="15" t="inlineStr">
        <is>
          <t>электрика</t>
        </is>
      </c>
      <c r="C75" s="15" t="inlineStr">
        <is>
          <t>Распредкоробка с коммутацией</t>
        </is>
      </c>
      <c r="D75" s="15" t="inlineStr">
        <is>
          <t>шт</t>
        </is>
      </c>
      <c r="E75" s="25" t="n">
        <v>20</v>
      </c>
      <c r="F75" s="25" t="n">
        <v>35</v>
      </c>
      <c r="G75" s="25" t="n">
        <v>50</v>
      </c>
      <c r="H75" s="15" t="inlineStr">
        <is>
          <t>нет</t>
        </is>
      </c>
      <c r="I75" s="15" t="inlineStr"/>
    </row>
    <row r="76">
      <c r="A76" s="15" t="inlineStr">
        <is>
          <t>E09</t>
        </is>
      </c>
      <c r="B76" s="15" t="inlineStr">
        <is>
          <t>электрика</t>
        </is>
      </c>
      <c r="C76" s="15" t="inlineStr">
        <is>
          <t>Щит: корпус скрытый</t>
        </is>
      </c>
      <c r="D76" s="15" t="inlineStr">
        <is>
          <t>шт</t>
        </is>
      </c>
      <c r="E76" s="25" t="n">
        <v>66</v>
      </c>
      <c r="F76" s="25" t="n">
        <v>150</v>
      </c>
      <c r="G76" s="25" t="n">
        <v>150</v>
      </c>
      <c r="H76" s="15" t="inlineStr">
        <is>
          <t>нет</t>
        </is>
      </c>
      <c r="I76" s="15" t="inlineStr"/>
    </row>
    <row r="77">
      <c r="A77" s="15" t="inlineStr">
        <is>
          <t>E10</t>
        </is>
      </c>
      <c r="B77" s="15" t="inlineStr">
        <is>
          <t>электрика</t>
        </is>
      </c>
      <c r="C77" s="15" t="inlineStr">
        <is>
          <t>Щит: модуль автомат</t>
        </is>
      </c>
      <c r="D77" s="15" t="inlineStr">
        <is>
          <t>шт</t>
        </is>
      </c>
      <c r="E77" s="25" t="n">
        <v>15.5</v>
      </c>
      <c r="F77" s="25" t="n">
        <v>20</v>
      </c>
      <c r="G77" s="25" t="n">
        <v>35</v>
      </c>
      <c r="H77" s="15" t="inlineStr">
        <is>
          <t>нет</t>
        </is>
      </c>
      <c r="I77" s="15" t="inlineStr"/>
    </row>
    <row r="78">
      <c r="A78" s="15" t="inlineStr">
        <is>
          <t>E11</t>
        </is>
      </c>
      <c r="B78" s="15" t="inlineStr">
        <is>
          <t>электрика</t>
        </is>
      </c>
      <c r="C78" s="15" t="inlineStr">
        <is>
          <t>Щит: модуль диф/УЗО</t>
        </is>
      </c>
      <c r="D78" s="15" t="inlineStr">
        <is>
          <t>шт</t>
        </is>
      </c>
      <c r="E78" s="25" t="n">
        <v>20</v>
      </c>
      <c r="F78" s="25" t="n">
        <v>35</v>
      </c>
      <c r="G78" s="25" t="n">
        <v>35</v>
      </c>
      <c r="H78" s="15" t="inlineStr">
        <is>
          <t>нет</t>
        </is>
      </c>
      <c r="I78" s="15" t="inlineStr"/>
    </row>
    <row r="79">
      <c r="A79" s="15" t="inlineStr">
        <is>
          <t>E12</t>
        </is>
      </c>
      <c r="B79" s="15" t="inlineStr">
        <is>
          <t>электрика</t>
        </is>
      </c>
      <c r="C79" s="15" t="inlineStr">
        <is>
          <t>Щит квартирный собранный</t>
        </is>
      </c>
      <c r="D79" s="15" t="inlineStr">
        <is>
          <t>шт</t>
        </is>
      </c>
      <c r="E79" s="25" t="n">
        <v>600</v>
      </c>
      <c r="F79" s="25" t="n">
        <v>900</v>
      </c>
      <c r="G79" s="25" t="n">
        <v>1100</v>
      </c>
      <c r="H79" s="15" t="inlineStr">
        <is>
          <t>нет</t>
        </is>
      </c>
      <c r="I79" s="15" t="inlineStr"/>
    </row>
    <row r="80">
      <c r="A80" s="15" t="inlineStr">
        <is>
          <t>E13</t>
        </is>
      </c>
      <c r="B80" s="15" t="inlineStr">
        <is>
          <t>электрика</t>
        </is>
      </c>
      <c r="C80" s="15" t="inlineStr">
        <is>
          <t>Люстра простая</t>
        </is>
      </c>
      <c r="D80" s="15" t="inlineStr">
        <is>
          <t>шт</t>
        </is>
      </c>
      <c r="E80" s="25" t="n">
        <v>33</v>
      </c>
      <c r="F80" s="25" t="n">
        <v>45</v>
      </c>
      <c r="G80" s="25" t="n">
        <v>90</v>
      </c>
      <c r="H80" s="15" t="inlineStr">
        <is>
          <t>нет</t>
        </is>
      </c>
      <c r="I80" s="15" t="inlineStr"/>
    </row>
    <row r="81">
      <c r="A81" s="15" t="inlineStr">
        <is>
          <t>E14</t>
        </is>
      </c>
      <c r="B81" s="15" t="inlineStr">
        <is>
          <t>электрика</t>
        </is>
      </c>
      <c r="C81" s="15" t="inlineStr">
        <is>
          <t>Трек шинопровод</t>
        </is>
      </c>
      <c r="D81" s="15" t="inlineStr">
        <is>
          <t>м.п.</t>
        </is>
      </c>
      <c r="E81" s="25" t="n">
        <v>40</v>
      </c>
      <c r="F81" s="25" t="n">
        <v>40</v>
      </c>
      <c r="G81" s="25" t="n">
        <v>40</v>
      </c>
      <c r="H81" s="15" t="inlineStr">
        <is>
          <t>нет</t>
        </is>
      </c>
      <c r="I81" s="15" t="inlineStr"/>
    </row>
    <row r="82">
      <c r="A82" s="15" t="inlineStr">
        <is>
          <t>E15</t>
        </is>
      </c>
      <c r="B82" s="15" t="inlineStr">
        <is>
          <t>электрика</t>
        </is>
      </c>
      <c r="C82" s="15" t="inlineStr">
        <is>
          <t>LED-лента</t>
        </is>
      </c>
      <c r="D82" s="15" t="inlineStr">
        <is>
          <t>м.п.</t>
        </is>
      </c>
      <c r="E82" s="25" t="n">
        <v>25</v>
      </c>
      <c r="F82" s="25" t="n">
        <v>27</v>
      </c>
      <c r="G82" s="25" t="n">
        <v>30</v>
      </c>
      <c r="H82" s="15" t="inlineStr">
        <is>
          <t>нет</t>
        </is>
      </c>
      <c r="I82" s="15" t="inlineStr"/>
    </row>
    <row r="83">
      <c r="A83" s="15" t="inlineStr">
        <is>
          <t>E16</t>
        </is>
      </c>
      <c r="B83" s="15" t="inlineStr">
        <is>
          <t>электрика</t>
        </is>
      </c>
      <c r="C83" s="15" t="inlineStr">
        <is>
          <t>Слаботочка кабель</t>
        </is>
      </c>
      <c r="D83" s="15" t="inlineStr">
        <is>
          <t>м.п.</t>
        </is>
      </c>
      <c r="E83" s="25" t="n">
        <v>3</v>
      </c>
      <c r="F83" s="25" t="n">
        <v>4</v>
      </c>
      <c r="G83" s="25" t="n">
        <v>6</v>
      </c>
      <c r="H83" s="15" t="inlineStr">
        <is>
          <t>нет</t>
        </is>
      </c>
      <c r="I83" s="15" t="inlineStr"/>
    </row>
    <row r="84">
      <c r="A84" s="15" t="inlineStr">
        <is>
          <t>E17</t>
        </is>
      </c>
      <c r="B84" s="15" t="inlineStr">
        <is>
          <t>электрика</t>
        </is>
      </c>
      <c r="C84" s="15" t="inlineStr">
        <is>
          <t>Слаботочка розетка</t>
        </is>
      </c>
      <c r="D84" s="15" t="inlineStr">
        <is>
          <t>шт</t>
        </is>
      </c>
      <c r="E84" s="25" t="n">
        <v>10</v>
      </c>
      <c r="F84" s="25" t="n">
        <v>20</v>
      </c>
      <c r="G84" s="25" t="n">
        <v>35</v>
      </c>
      <c r="H84" s="15" t="inlineStr">
        <is>
          <t>нет</t>
        </is>
      </c>
      <c r="I84" s="15" t="inlineStr"/>
    </row>
    <row r="85">
      <c r="A85" s="15" t="inlineStr">
        <is>
          <t>E18</t>
        </is>
      </c>
      <c r="B85" s="15" t="inlineStr">
        <is>
          <t>электрика</t>
        </is>
      </c>
      <c r="C85" s="15" t="inlineStr">
        <is>
          <t>Полная точка (штроба+кабель+подрозетник+механизм)</t>
        </is>
      </c>
      <c r="D85" s="15" t="inlineStr">
        <is>
          <t>точка</t>
        </is>
      </c>
      <c r="E85" s="25" t="n">
        <v>50</v>
      </c>
      <c r="F85" s="25" t="n">
        <v>90</v>
      </c>
      <c r="G85" s="25" t="n">
        <v>150</v>
      </c>
      <c r="H85" s="15" t="inlineStr">
        <is>
          <t>нет</t>
        </is>
      </c>
      <c r="I85" s="15" t="inlineStr">
        <is>
          <t>расчётная оценка</t>
        </is>
      </c>
    </row>
    <row r="86">
      <c r="A86" s="15" t="inlineStr">
        <is>
          <t>E19</t>
        </is>
      </c>
      <c r="B86" s="15" t="inlineStr">
        <is>
          <t>электрика</t>
        </is>
      </c>
      <c r="C86" s="15" t="inlineStr">
        <is>
          <t>Электрика квартиры под ключ 50–70 м2 работа</t>
        </is>
      </c>
      <c r="D86" s="15" t="inlineStr">
        <is>
          <t>квартира</t>
        </is>
      </c>
      <c r="E86" s="25" t="n">
        <v>750</v>
      </c>
      <c r="F86" s="25" t="n">
        <v>1100</v>
      </c>
      <c r="G86" s="25" t="n">
        <v>1600</v>
      </c>
      <c r="H86" s="15" t="inlineStr">
        <is>
          <t>нет</t>
        </is>
      </c>
      <c r="I86" s="15" t="inlineStr"/>
    </row>
    <row r="87">
      <c r="A87" s="15" t="inlineStr">
        <is>
          <t>S01</t>
        </is>
      </c>
      <c r="B87" s="15" t="inlineStr">
        <is>
          <t>сантехника</t>
        </is>
      </c>
      <c r="C87" s="15" t="inlineStr">
        <is>
          <t>Точка водоснабжения</t>
        </is>
      </c>
      <c r="D87" s="15" t="inlineStr">
        <is>
          <t>точка</t>
        </is>
      </c>
      <c r="E87" s="25" t="n">
        <v>30</v>
      </c>
      <c r="F87" s="25" t="n">
        <v>70</v>
      </c>
      <c r="G87" s="25" t="n">
        <v>120</v>
      </c>
      <c r="H87" s="15" t="inlineStr">
        <is>
          <t>нет</t>
        </is>
      </c>
      <c r="I87" s="15" t="inlineStr"/>
    </row>
    <row r="88">
      <c r="A88" s="15" t="inlineStr">
        <is>
          <t>S02</t>
        </is>
      </c>
      <c r="B88" s="15" t="inlineStr">
        <is>
          <t>сантехника</t>
        </is>
      </c>
      <c r="C88" s="15" t="inlineStr">
        <is>
          <t>Точка канализации</t>
        </is>
      </c>
      <c r="D88" s="15" t="inlineStr">
        <is>
          <t>точка</t>
        </is>
      </c>
      <c r="E88" s="25" t="n">
        <v>30</v>
      </c>
      <c r="F88" s="25" t="n">
        <v>45</v>
      </c>
      <c r="G88" s="25" t="n">
        <v>80</v>
      </c>
      <c r="H88" s="15" t="inlineStr">
        <is>
          <t>нет</t>
        </is>
      </c>
      <c r="I88" s="15" t="inlineStr"/>
    </row>
    <row r="89">
      <c r="A89" s="15" t="inlineStr">
        <is>
          <t>S03</t>
        </is>
      </c>
      <c r="B89" s="15" t="inlineStr">
        <is>
          <t>сантехника</t>
        </is>
      </c>
      <c r="C89" s="15" t="inlineStr">
        <is>
          <t>Штроба под трубы</t>
        </is>
      </c>
      <c r="D89" s="15" t="inlineStr">
        <is>
          <t>м.п.</t>
        </is>
      </c>
      <c r="E89" s="25" t="n">
        <v>10</v>
      </c>
      <c r="F89" s="25" t="n">
        <v>20</v>
      </c>
      <c r="G89" s="25" t="n">
        <v>40</v>
      </c>
      <c r="H89" s="15" t="inlineStr">
        <is>
          <t>нет</t>
        </is>
      </c>
      <c r="I89" s="15" t="inlineStr"/>
    </row>
    <row r="90">
      <c r="A90" s="15" t="inlineStr">
        <is>
          <t>S04</t>
        </is>
      </c>
      <c r="B90" s="15" t="inlineStr">
        <is>
          <t>сантехника</t>
        </is>
      </c>
      <c r="C90" s="15" t="inlineStr">
        <is>
          <t>Унитаз напольный</t>
        </is>
      </c>
      <c r="D90" s="15" t="inlineStr">
        <is>
          <t>шт</t>
        </is>
      </c>
      <c r="E90" s="25" t="n">
        <v>31</v>
      </c>
      <c r="F90" s="25" t="n">
        <v>75</v>
      </c>
      <c r="G90" s="25" t="n">
        <v>130</v>
      </c>
      <c r="H90" s="15" t="inlineStr">
        <is>
          <t>нет</t>
        </is>
      </c>
      <c r="I90" s="15" t="inlineStr"/>
    </row>
    <row r="91">
      <c r="A91" s="15" t="inlineStr">
        <is>
          <t>S05</t>
        </is>
      </c>
      <c r="B91" s="15" t="inlineStr">
        <is>
          <t>сантехника</t>
        </is>
      </c>
      <c r="C91" s="15" t="inlineStr">
        <is>
          <t>Инсталляция (рама + подвод)</t>
        </is>
      </c>
      <c r="D91" s="15" t="inlineStr">
        <is>
          <t>шт</t>
        </is>
      </c>
      <c r="E91" s="25" t="n">
        <v>110</v>
      </c>
      <c r="F91" s="25" t="n">
        <v>135</v>
      </c>
      <c r="G91" s="25" t="n">
        <v>150</v>
      </c>
      <c r="H91" s="15" t="inlineStr">
        <is>
          <t>нет</t>
        </is>
      </c>
      <c r="I91" s="15" t="inlineStr"/>
    </row>
    <row r="92">
      <c r="A92" s="15" t="inlineStr">
        <is>
          <t>S06</t>
        </is>
      </c>
      <c r="B92" s="15" t="inlineStr">
        <is>
          <t>сантехника</t>
        </is>
      </c>
      <c r="C92" s="15" t="inlineStr">
        <is>
          <t>Навеска унитаза на инсталляцию</t>
        </is>
      </c>
      <c r="D92" s="15" t="inlineStr">
        <is>
          <t>шт</t>
        </is>
      </c>
      <c r="E92" s="25" t="n">
        <v>100</v>
      </c>
      <c r="F92" s="25" t="n">
        <v>150</v>
      </c>
      <c r="G92" s="25" t="n">
        <v>150</v>
      </c>
      <c r="H92" s="15" t="inlineStr">
        <is>
          <t>нет</t>
        </is>
      </c>
      <c r="I92" s="15" t="inlineStr"/>
    </row>
    <row r="93">
      <c r="A93" s="15" t="inlineStr">
        <is>
          <t>S07</t>
        </is>
      </c>
      <c r="B93" s="15" t="inlineStr">
        <is>
          <t>сантехника</t>
        </is>
      </c>
      <c r="C93" s="15" t="inlineStr">
        <is>
          <t>Ванна</t>
        </is>
      </c>
      <c r="D93" s="15" t="inlineStr">
        <is>
          <t>шт</t>
        </is>
      </c>
      <c r="E93" s="25" t="n">
        <v>90</v>
      </c>
      <c r="F93" s="25" t="n">
        <v>130</v>
      </c>
      <c r="G93" s="25" t="n">
        <v>160</v>
      </c>
      <c r="H93" s="15" t="inlineStr">
        <is>
          <t>нет</t>
        </is>
      </c>
      <c r="I93" s="15" t="inlineStr"/>
    </row>
    <row r="94">
      <c r="A94" s="15" t="inlineStr">
        <is>
          <t>S08</t>
        </is>
      </c>
      <c r="B94" s="15" t="inlineStr">
        <is>
          <t>сантехника</t>
        </is>
      </c>
      <c r="C94" s="15" t="inlineStr">
        <is>
          <t>Душевой поддон</t>
        </is>
      </c>
      <c r="D94" s="15" t="inlineStr">
        <is>
          <t>шт</t>
        </is>
      </c>
      <c r="E94" s="25" t="n">
        <v>60</v>
      </c>
      <c r="F94" s="25" t="n">
        <v>150</v>
      </c>
      <c r="G94" s="25" t="n">
        <v>250</v>
      </c>
      <c r="H94" s="15" t="inlineStr">
        <is>
          <t>нет</t>
        </is>
      </c>
      <c r="I94" s="15" t="inlineStr"/>
    </row>
    <row r="95">
      <c r="A95" s="15" t="inlineStr">
        <is>
          <t>S09</t>
        </is>
      </c>
      <c r="B95" s="15" t="inlineStr">
        <is>
          <t>сантехника</t>
        </is>
      </c>
      <c r="C95" s="15" t="inlineStr">
        <is>
          <t>Трап / лоток</t>
        </is>
      </c>
      <c r="D95" s="15" t="inlineStr">
        <is>
          <t>шт</t>
        </is>
      </c>
      <c r="E95" s="25" t="n">
        <v>120</v>
      </c>
      <c r="F95" s="25" t="n">
        <v>120</v>
      </c>
      <c r="G95" s="25" t="n">
        <v>200</v>
      </c>
      <c r="H95" s="15" t="inlineStr">
        <is>
          <t>нет</t>
        </is>
      </c>
      <c r="I95" s="15" t="inlineStr"/>
    </row>
    <row r="96">
      <c r="A96" s="15" t="inlineStr">
        <is>
          <t>S10</t>
        </is>
      </c>
      <c r="B96" s="15" t="inlineStr">
        <is>
          <t>сантехника</t>
        </is>
      </c>
      <c r="C96" s="15" t="inlineStr">
        <is>
          <t>Смеситель открытый</t>
        </is>
      </c>
      <c r="D96" s="15" t="inlineStr">
        <is>
          <t>шт</t>
        </is>
      </c>
      <c r="E96" s="25" t="n">
        <v>25</v>
      </c>
      <c r="F96" s="25" t="n">
        <v>50</v>
      </c>
      <c r="G96" s="25" t="n">
        <v>130</v>
      </c>
      <c r="H96" s="15" t="inlineStr">
        <is>
          <t>нет</t>
        </is>
      </c>
      <c r="I96" s="15" t="inlineStr"/>
    </row>
    <row r="97">
      <c r="A97" s="15" t="inlineStr">
        <is>
          <t>S11</t>
        </is>
      </c>
      <c r="B97" s="15" t="inlineStr">
        <is>
          <t>сантехника</t>
        </is>
      </c>
      <c r="C97" s="15" t="inlineStr">
        <is>
          <t>Смеситель скрытого монтажа</t>
        </is>
      </c>
      <c r="D97" s="15" t="inlineStr">
        <is>
          <t>шт</t>
        </is>
      </c>
      <c r="E97" s="25" t="n">
        <v>300</v>
      </c>
      <c r="F97" s="25" t="n">
        <v>380</v>
      </c>
      <c r="G97" s="25" t="n">
        <v>380</v>
      </c>
      <c r="H97" s="15" t="inlineStr">
        <is>
          <t>нет</t>
        </is>
      </c>
      <c r="I97" s="15" t="inlineStr"/>
    </row>
    <row r="98">
      <c r="A98" s="15" t="inlineStr">
        <is>
          <t>S12</t>
        </is>
      </c>
      <c r="B98" s="15" t="inlineStr">
        <is>
          <t>сантехника</t>
        </is>
      </c>
      <c r="C98" s="15" t="inlineStr">
        <is>
          <t>Полотенцесушитель навеска</t>
        </is>
      </c>
      <c r="D98" s="15" t="inlineStr">
        <is>
          <t>шт</t>
        </is>
      </c>
      <c r="E98" s="25" t="n">
        <v>120</v>
      </c>
      <c r="F98" s="25" t="n">
        <v>120</v>
      </c>
      <c r="G98" s="25" t="n">
        <v>120</v>
      </c>
      <c r="H98" s="15" t="inlineStr">
        <is>
          <t>нет</t>
        </is>
      </c>
      <c r="I98" s="15" t="inlineStr"/>
    </row>
    <row r="99">
      <c r="A99" s="15" t="inlineStr">
        <is>
          <t>S13</t>
        </is>
      </c>
      <c r="B99" s="15" t="inlineStr">
        <is>
          <t>сантехника</t>
        </is>
      </c>
      <c r="C99" s="15" t="inlineStr">
        <is>
          <t>Полотенцесушитель замена с байпасом</t>
        </is>
      </c>
      <c r="D99" s="15" t="inlineStr">
        <is>
          <t>шт</t>
        </is>
      </c>
      <c r="E99" s="25" t="n">
        <v>190</v>
      </c>
      <c r="F99" s="25" t="n">
        <v>190</v>
      </c>
      <c r="G99" s="25" t="n">
        <v>350</v>
      </c>
      <c r="H99" s="15" t="inlineStr">
        <is>
          <t>нет</t>
        </is>
      </c>
      <c r="I99" s="15" t="inlineStr"/>
    </row>
    <row r="100">
      <c r="A100" s="15" t="inlineStr">
        <is>
          <t>S14</t>
        </is>
      </c>
      <c r="B100" s="15" t="inlineStr">
        <is>
          <t>сантехника</t>
        </is>
      </c>
      <c r="C100" s="15" t="inlineStr">
        <is>
          <t>Радиатор навеска</t>
        </is>
      </c>
      <c r="D100" s="15" t="inlineStr">
        <is>
          <t>шт</t>
        </is>
      </c>
      <c r="E100" s="25" t="n">
        <v>40</v>
      </c>
      <c r="F100" s="25" t="n">
        <v>40</v>
      </c>
      <c r="G100" s="25" t="n">
        <v>40</v>
      </c>
      <c r="H100" s="15" t="inlineStr">
        <is>
          <t>нет</t>
        </is>
      </c>
      <c r="I100" s="15" t="inlineStr"/>
    </row>
    <row r="101">
      <c r="A101" s="15" t="inlineStr">
        <is>
          <t>S15</t>
        </is>
      </c>
      <c r="B101" s="15" t="inlineStr">
        <is>
          <t>сантехника</t>
        </is>
      </c>
      <c r="C101" s="15" t="inlineStr">
        <is>
          <t>Радиатор точка с подводом</t>
        </is>
      </c>
      <c r="D101" s="15" t="inlineStr">
        <is>
          <t>шт</t>
        </is>
      </c>
      <c r="E101" s="25" t="n">
        <v>120</v>
      </c>
      <c r="F101" s="25" t="n">
        <v>150</v>
      </c>
      <c r="G101" s="25" t="n">
        <v>180</v>
      </c>
      <c r="H101" s="15" t="inlineStr">
        <is>
          <t>нет</t>
        </is>
      </c>
      <c r="I101" s="15" t="inlineStr"/>
    </row>
    <row r="102">
      <c r="A102" s="15" t="inlineStr">
        <is>
          <t>S16</t>
        </is>
      </c>
      <c r="B102" s="15" t="inlineStr">
        <is>
          <t>сантехника</t>
        </is>
      </c>
      <c r="C102" s="15" t="inlineStr">
        <is>
          <t>Коллекторный узел</t>
        </is>
      </c>
      <c r="D102" s="15" t="inlineStr">
        <is>
          <t>шт</t>
        </is>
      </c>
      <c r="E102" s="25" t="n">
        <v>75</v>
      </c>
      <c r="F102" s="25" t="n">
        <v>100</v>
      </c>
      <c r="G102" s="25" t="n">
        <v>160</v>
      </c>
      <c r="H102" s="15" t="inlineStr">
        <is>
          <t>нет</t>
        </is>
      </c>
      <c r="I102" s="15" t="inlineStr"/>
    </row>
    <row r="103">
      <c r="A103" s="15" t="inlineStr">
        <is>
          <t>S17</t>
        </is>
      </c>
      <c r="B103" s="15" t="inlineStr">
        <is>
          <t>сантехника</t>
        </is>
      </c>
      <c r="C103" s="15" t="inlineStr">
        <is>
          <t>Фильтр/редуктор</t>
        </is>
      </c>
      <c r="D103" s="15" t="inlineStr">
        <is>
          <t>шт</t>
        </is>
      </c>
      <c r="E103" s="25" t="n">
        <v>35</v>
      </c>
      <c r="F103" s="25" t="n">
        <v>70</v>
      </c>
      <c r="G103" s="25" t="n">
        <v>120</v>
      </c>
      <c r="H103" s="15" t="inlineStr">
        <is>
          <t>нет</t>
        </is>
      </c>
      <c r="I103" s="15" t="inlineStr"/>
    </row>
    <row r="104">
      <c r="A104" s="15" t="inlineStr">
        <is>
          <t>S18</t>
        </is>
      </c>
      <c r="B104" s="15" t="inlineStr">
        <is>
          <t>сантехника</t>
        </is>
      </c>
      <c r="C104" s="15" t="inlineStr">
        <is>
          <t>Счётчик воды</t>
        </is>
      </c>
      <c r="D104" s="15" t="inlineStr">
        <is>
          <t>шт</t>
        </is>
      </c>
      <c r="E104" s="25" t="n">
        <v>70</v>
      </c>
      <c r="F104" s="25" t="n">
        <v>75</v>
      </c>
      <c r="G104" s="25" t="n">
        <v>100</v>
      </c>
      <c r="H104" s="15" t="inlineStr">
        <is>
          <t>нет</t>
        </is>
      </c>
      <c r="I104" s="15" t="inlineStr"/>
    </row>
    <row r="105">
      <c r="A105" s="15" t="inlineStr">
        <is>
          <t>S19</t>
        </is>
      </c>
      <c r="B105" s="15" t="inlineStr">
        <is>
          <t>сантехника</t>
        </is>
      </c>
      <c r="C105" s="15" t="inlineStr">
        <is>
          <t>Короб ГКЛ под трубы</t>
        </is>
      </c>
      <c r="D105" s="15" t="inlineStr">
        <is>
          <t>м.п.</t>
        </is>
      </c>
      <c r="E105" s="25" t="n">
        <v>100</v>
      </c>
      <c r="F105" s="25" t="n">
        <v>160</v>
      </c>
      <c r="G105" s="25" t="n">
        <v>200</v>
      </c>
      <c r="H105" s="15" t="inlineStr">
        <is>
          <t>нет</t>
        </is>
      </c>
      <c r="I105" s="15" t="inlineStr"/>
    </row>
    <row r="106">
      <c r="A106" s="15" t="inlineStr">
        <is>
          <t>T01</t>
        </is>
      </c>
      <c r="B106" s="15" t="inlineStr">
        <is>
          <t>плитка</t>
        </is>
      </c>
      <c r="C106" s="15" t="inlineStr">
        <is>
          <t>Затирка цементная</t>
        </is>
      </c>
      <c r="D106" s="15" t="inlineStr">
        <is>
          <t>м2</t>
        </is>
      </c>
      <c r="E106" s="25" t="n">
        <v>1</v>
      </c>
      <c r="F106" s="25" t="n">
        <v>4</v>
      </c>
      <c r="G106" s="25" t="n">
        <v>8.800000000000001</v>
      </c>
      <c r="H106" s="15" t="inlineStr">
        <is>
          <t>нет</t>
        </is>
      </c>
      <c r="I106" s="15" t="inlineStr"/>
    </row>
    <row r="107">
      <c r="A107" s="15" t="inlineStr">
        <is>
          <t>T02</t>
        </is>
      </c>
      <c r="B107" s="15" t="inlineStr">
        <is>
          <t>плитка</t>
        </is>
      </c>
      <c r="C107" s="15" t="inlineStr">
        <is>
          <t>Затирка эпоксидная</t>
        </is>
      </c>
      <c r="D107" s="15" t="inlineStr">
        <is>
          <t>м2</t>
        </is>
      </c>
      <c r="E107" s="25" t="n">
        <v>10</v>
      </c>
      <c r="F107" s="25" t="n">
        <v>12</v>
      </c>
      <c r="G107" s="25" t="n">
        <v>20</v>
      </c>
      <c r="H107" s="15" t="inlineStr">
        <is>
          <t>нет</t>
        </is>
      </c>
      <c r="I107" s="15" t="inlineStr"/>
    </row>
    <row r="108">
      <c r="A108" s="15" t="inlineStr">
        <is>
          <t>T03</t>
        </is>
      </c>
      <c r="B108" s="15" t="inlineStr">
        <is>
          <t>плитка</t>
        </is>
      </c>
      <c r="C108" s="15" t="inlineStr">
        <is>
          <t>Запил под 45°</t>
        </is>
      </c>
      <c r="D108" s="15" t="inlineStr">
        <is>
          <t>м.п.</t>
        </is>
      </c>
      <c r="E108" s="25" t="n">
        <v>8</v>
      </c>
      <c r="F108" s="25" t="n">
        <v>30</v>
      </c>
      <c r="G108" s="25" t="n">
        <v>50</v>
      </c>
      <c r="H108" s="15" t="inlineStr">
        <is>
          <t>нет</t>
        </is>
      </c>
      <c r="I108" s="15" t="inlineStr"/>
    </row>
    <row r="109">
      <c r="A109" s="15" t="inlineStr">
        <is>
          <t>T04</t>
        </is>
      </c>
      <c r="B109" s="15" t="inlineStr">
        <is>
          <t>плитка</t>
        </is>
      </c>
      <c r="C109" s="15" t="inlineStr">
        <is>
          <t>Отверстие под вывод</t>
        </is>
      </c>
      <c r="D109" s="15" t="inlineStr">
        <is>
          <t>шт</t>
        </is>
      </c>
      <c r="E109" s="25" t="n">
        <v>7</v>
      </c>
      <c r="F109" s="25" t="n">
        <v>15</v>
      </c>
      <c r="G109" s="25" t="n">
        <v>22</v>
      </c>
      <c r="H109" s="15" t="inlineStr">
        <is>
          <t>нет</t>
        </is>
      </c>
      <c r="I109" s="15" t="inlineStr"/>
    </row>
    <row r="110">
      <c r="A110" s="15" t="inlineStr">
        <is>
          <t>T05</t>
        </is>
      </c>
      <c r="B110" s="15" t="inlineStr">
        <is>
          <t>плитка</t>
        </is>
      </c>
      <c r="C110" s="15" t="inlineStr">
        <is>
          <t>Люк-невидимка под плитку</t>
        </is>
      </c>
      <c r="D110" s="15" t="inlineStr">
        <is>
          <t>шт</t>
        </is>
      </c>
      <c r="E110" s="25" t="n">
        <v>110</v>
      </c>
      <c r="F110" s="25" t="n">
        <v>110</v>
      </c>
      <c r="G110" s="25" t="n">
        <v>110</v>
      </c>
      <c r="H110" s="15" t="inlineStr">
        <is>
          <t>нет</t>
        </is>
      </c>
      <c r="I110" s="15" t="inlineStr"/>
    </row>
    <row r="111">
      <c r="A111" s="15" t="inlineStr">
        <is>
          <t>T06</t>
        </is>
      </c>
      <c r="B111" s="15" t="inlineStr">
        <is>
          <t>плитка</t>
        </is>
      </c>
      <c r="C111" s="15" t="inlineStr">
        <is>
          <t>Ниши/узкие участки</t>
        </is>
      </c>
      <c r="D111" s="15" t="inlineStr">
        <is>
          <t>м.п.</t>
        </is>
      </c>
      <c r="E111" s="25" t="n">
        <v>18</v>
      </c>
      <c r="F111" s="25" t="n">
        <v>50</v>
      </c>
      <c r="G111" s="25" t="n">
        <v>55</v>
      </c>
      <c r="H111" s="15" t="inlineStr">
        <is>
          <t>нет</t>
        </is>
      </c>
      <c r="I111" s="15" t="inlineStr"/>
    </row>
    <row r="112">
      <c r="A112" s="15" t="inlineStr">
        <is>
          <t>T07</t>
        </is>
      </c>
      <c r="B112" s="15" t="inlineStr">
        <is>
          <t>плитка</t>
        </is>
      </c>
      <c r="C112" s="15" t="inlineStr">
        <is>
          <t>Экран ванны ГКЛ + плитка</t>
        </is>
      </c>
      <c r="D112" s="15" t="inlineStr">
        <is>
          <t>шт</t>
        </is>
      </c>
      <c r="E112" s="25" t="n">
        <v>120</v>
      </c>
      <c r="F112" s="25" t="n">
        <v>145</v>
      </c>
      <c r="G112" s="25" t="n">
        <v>290</v>
      </c>
      <c r="H112" s="15" t="inlineStr">
        <is>
          <t>нет</t>
        </is>
      </c>
      <c r="I112" s="15" t="inlineStr"/>
    </row>
    <row r="113">
      <c r="A113" s="15" t="inlineStr">
        <is>
          <t>T08</t>
        </is>
      </c>
      <c r="B113" s="15" t="inlineStr">
        <is>
          <t>плитка</t>
        </is>
      </c>
      <c r="C113" s="15" t="inlineStr">
        <is>
          <t>Санузел 3–5 м2 под ключ, работы</t>
        </is>
      </c>
      <c r="D113" s="15" t="inlineStr">
        <is>
          <t>объект</t>
        </is>
      </c>
      <c r="E113" s="25" t="n">
        <v>3000</v>
      </c>
      <c r="F113" s="25" t="n">
        <v>4500</v>
      </c>
      <c r="G113" s="25" t="n">
        <v>8000</v>
      </c>
      <c r="H113" s="15" t="inlineStr">
        <is>
          <t>нет</t>
        </is>
      </c>
      <c r="I113" s="15" t="inlineStr"/>
    </row>
    <row r="114">
      <c r="A114" s="15" t="inlineStr">
        <is>
          <t>X01</t>
        </is>
      </c>
      <c r="B114" s="15" t="inlineStr">
        <is>
          <t>чистовая</t>
        </is>
      </c>
      <c r="C114" s="15" t="inlineStr">
        <is>
          <t>Покраска стен 2 слоя</t>
        </is>
      </c>
      <c r="D114" s="15" t="inlineStr">
        <is>
          <t>м2</t>
        </is>
      </c>
      <c r="E114" s="25" t="n">
        <v>5.2</v>
      </c>
      <c r="F114" s="25" t="n">
        <v>10</v>
      </c>
      <c r="G114" s="25" t="n">
        <v>20</v>
      </c>
      <c r="H114" s="15" t="inlineStr">
        <is>
          <t>нет</t>
        </is>
      </c>
      <c r="I114" s="15" t="inlineStr"/>
    </row>
    <row r="115">
      <c r="A115" s="15" t="inlineStr">
        <is>
          <t>X02</t>
        </is>
      </c>
      <c r="B115" s="15" t="inlineStr">
        <is>
          <t>чистовая</t>
        </is>
      </c>
      <c r="C115" s="15" t="inlineStr">
        <is>
          <t>Покраска потолка 2 слоя</t>
        </is>
      </c>
      <c r="D115" s="15" t="inlineStr">
        <is>
          <t>м2</t>
        </is>
      </c>
      <c r="E115" s="25" t="n">
        <v>6.6</v>
      </c>
      <c r="F115" s="25" t="n">
        <v>10</v>
      </c>
      <c r="G115" s="25" t="n">
        <v>12</v>
      </c>
      <c r="H115" s="15" t="inlineStr">
        <is>
          <t>нет</t>
        </is>
      </c>
      <c r="I115" s="15" t="inlineStr"/>
    </row>
    <row r="116">
      <c r="A116" s="15" t="inlineStr">
        <is>
          <t>X03</t>
        </is>
      </c>
      <c r="B116" s="15" t="inlineStr">
        <is>
          <t>чистовая</t>
        </is>
      </c>
      <c r="C116" s="15" t="inlineStr">
        <is>
          <t>Покраска под ключ (шпакл+стеклохолст+2 слоя)</t>
        </is>
      </c>
      <c r="D116" s="15" t="inlineStr">
        <is>
          <t>м2</t>
        </is>
      </c>
      <c r="E116" s="25" t="n">
        <v>32</v>
      </c>
      <c r="F116" s="25" t="n">
        <v>44</v>
      </c>
      <c r="G116" s="25" t="n">
        <v>65</v>
      </c>
      <c r="H116" s="15" t="inlineStr">
        <is>
          <t>нет</t>
        </is>
      </c>
      <c r="I116" s="15" t="inlineStr"/>
    </row>
    <row r="117">
      <c r="A117" s="15" t="inlineStr">
        <is>
          <t>X04</t>
        </is>
      </c>
      <c r="B117" s="15" t="inlineStr">
        <is>
          <t>чистовая</t>
        </is>
      </c>
      <c r="C117" s="15" t="inlineStr">
        <is>
          <t>Декоративная штукатурка нанесение</t>
        </is>
      </c>
      <c r="D117" s="15" t="inlineStr">
        <is>
          <t>м2</t>
        </is>
      </c>
      <c r="E117" s="25" t="n">
        <v>15</v>
      </c>
      <c r="F117" s="25" t="n">
        <v>35</v>
      </c>
      <c r="G117" s="25" t="n">
        <v>100</v>
      </c>
      <c r="H117" s="15" t="inlineStr">
        <is>
          <t>нет</t>
        </is>
      </c>
      <c r="I117" s="15" t="inlineStr"/>
    </row>
    <row r="118">
      <c r="A118" s="15" t="inlineStr">
        <is>
          <t>X05</t>
        </is>
      </c>
      <c r="B118" s="15" t="inlineStr">
        <is>
          <t>чистовая</t>
        </is>
      </c>
      <c r="C118" s="15" t="inlineStr">
        <is>
          <t>Микроцемент стены работа+материал</t>
        </is>
      </c>
      <c r="D118" s="15" t="inlineStr">
        <is>
          <t>м2</t>
        </is>
      </c>
      <c r="E118" s="25" t="n">
        <v>66.5</v>
      </c>
      <c r="F118" s="25" t="n">
        <v>85</v>
      </c>
      <c r="G118" s="25" t="n">
        <v>193</v>
      </c>
      <c r="H118" s="15" t="inlineStr">
        <is>
          <t>да</t>
        </is>
      </c>
      <c r="I118" s="15" t="inlineStr">
        <is>
          <t>193 — модель UNICORE</t>
        </is>
      </c>
    </row>
    <row r="119">
      <c r="A119" s="15" t="inlineStr">
        <is>
          <t>X06</t>
        </is>
      </c>
      <c r="B119" s="15" t="inlineStr">
        <is>
          <t>чистовая</t>
        </is>
      </c>
      <c r="C119" s="15" t="inlineStr">
        <is>
          <t>Микроцемент полы работа+материал</t>
        </is>
      </c>
      <c r="D119" s="15" t="inlineStr">
        <is>
          <t>м2</t>
        </is>
      </c>
      <c r="E119" s="25" t="n">
        <v>130</v>
      </c>
      <c r="F119" s="25" t="n">
        <v>150</v>
      </c>
      <c r="G119" s="25" t="n">
        <v>224</v>
      </c>
      <c r="H119" s="15" t="inlineStr">
        <is>
          <t>да</t>
        </is>
      </c>
      <c r="I119" s="15" t="inlineStr">
        <is>
          <t>224 — модель UNICORE</t>
        </is>
      </c>
    </row>
    <row r="120">
      <c r="A120" s="15" t="inlineStr">
        <is>
          <t>X07</t>
        </is>
      </c>
      <c r="B120" s="15" t="inlineStr">
        <is>
          <t>чистовая</t>
        </is>
      </c>
      <c r="C120" s="15" t="inlineStr">
        <is>
          <t>Микроцемент только работа</t>
        </is>
      </c>
      <c r="D120" s="15" t="inlineStr">
        <is>
          <t>м2</t>
        </is>
      </c>
      <c r="E120" s="25" t="n">
        <v>60</v>
      </c>
      <c r="F120" s="25" t="n">
        <v>72</v>
      </c>
      <c r="G120" s="25" t="n">
        <v>100</v>
      </c>
      <c r="H120" s="15" t="inlineStr">
        <is>
          <t>нет</t>
        </is>
      </c>
      <c r="I120" s="15" t="inlineStr"/>
    </row>
    <row r="121">
      <c r="A121" s="15" t="inlineStr">
        <is>
          <t>X08</t>
        </is>
      </c>
      <c r="B121" s="15" t="inlineStr">
        <is>
          <t>чистовая</t>
        </is>
      </c>
      <c r="C121" s="15" t="inlineStr">
        <is>
          <t>Обои флизелин/винил</t>
        </is>
      </c>
      <c r="D121" s="15" t="inlineStr">
        <is>
          <t>м2</t>
        </is>
      </c>
      <c r="E121" s="25" t="n">
        <v>7</v>
      </c>
      <c r="F121" s="25" t="n">
        <v>10</v>
      </c>
      <c r="G121" s="25" t="n">
        <v>13</v>
      </c>
      <c r="H121" s="15" t="inlineStr">
        <is>
          <t>нет</t>
        </is>
      </c>
      <c r="I121" s="15" t="inlineStr"/>
    </row>
    <row r="122">
      <c r="A122" s="15" t="inlineStr">
        <is>
          <t>X09</t>
        </is>
      </c>
      <c r="B122" s="15" t="inlineStr">
        <is>
          <t>чистовая</t>
        </is>
      </c>
      <c r="C122" s="15" t="inlineStr">
        <is>
          <t>Обои под покраску</t>
        </is>
      </c>
      <c r="D122" s="15" t="inlineStr">
        <is>
          <t>м2</t>
        </is>
      </c>
      <c r="E122" s="25" t="n">
        <v>7</v>
      </c>
      <c r="F122" s="25" t="n">
        <v>10</v>
      </c>
      <c r="G122" s="25" t="n">
        <v>18</v>
      </c>
      <c r="H122" s="15" t="inlineStr">
        <is>
          <t>нет</t>
        </is>
      </c>
      <c r="I122" s="15" t="inlineStr"/>
    </row>
    <row r="123">
      <c r="A123" s="15" t="inlineStr">
        <is>
          <t>X10</t>
        </is>
      </c>
      <c r="B123" s="15" t="inlineStr">
        <is>
          <t>чистовая</t>
        </is>
      </c>
      <c r="C123" s="15" t="inlineStr">
        <is>
          <t>Дверь межкомнатная установка</t>
        </is>
      </c>
      <c r="D123" s="15" t="inlineStr">
        <is>
          <t>шт</t>
        </is>
      </c>
      <c r="E123" s="25" t="n">
        <v>80</v>
      </c>
      <c r="F123" s="25" t="n">
        <v>118</v>
      </c>
      <c r="G123" s="25" t="n">
        <v>170</v>
      </c>
      <c r="H123" s="15" t="inlineStr">
        <is>
          <t>нет</t>
        </is>
      </c>
      <c r="I123" s="15" t="inlineStr"/>
    </row>
    <row r="124">
      <c r="A124" s="15" t="inlineStr">
        <is>
          <t>X11</t>
        </is>
      </c>
      <c r="B124" s="15" t="inlineStr">
        <is>
          <t>чистовая</t>
        </is>
      </c>
      <c r="C124" s="15" t="inlineStr">
        <is>
          <t>Дверь-невидимка установка короба</t>
        </is>
      </c>
      <c r="D124" s="15" t="inlineStr">
        <is>
          <t>шт</t>
        </is>
      </c>
      <c r="E124" s="25" t="n">
        <v>120</v>
      </c>
      <c r="F124" s="25" t="n">
        <v>150</v>
      </c>
      <c r="G124" s="25" t="n">
        <v>250</v>
      </c>
      <c r="H124" s="15" t="inlineStr">
        <is>
          <t>нет</t>
        </is>
      </c>
      <c r="I124" s="15" t="inlineStr"/>
    </row>
    <row r="125">
      <c r="A125" s="15" t="inlineStr">
        <is>
          <t>X12</t>
        </is>
      </c>
      <c r="B125" s="15" t="inlineStr">
        <is>
          <t>чистовая</t>
        </is>
      </c>
      <c r="C125" s="15" t="inlineStr">
        <is>
          <t>Дверь-невидимка отделка (откосы+покраска полотна)</t>
        </is>
      </c>
      <c r="D125" s="15" t="inlineStr">
        <is>
          <t>шт</t>
        </is>
      </c>
      <c r="E125" s="25" t="n">
        <v>300</v>
      </c>
      <c r="F125" s="25" t="n">
        <v>450</v>
      </c>
      <c r="G125" s="25" t="n">
        <v>600</v>
      </c>
      <c r="H125" s="15" t="inlineStr">
        <is>
          <t>нет</t>
        </is>
      </c>
      <c r="I125" s="15" t="inlineStr"/>
    </row>
    <row r="126">
      <c r="A126" s="15" t="inlineStr">
        <is>
          <t>X13</t>
        </is>
      </c>
      <c r="B126" s="15" t="inlineStr">
        <is>
          <t>чистовая</t>
        </is>
      </c>
      <c r="C126" s="15" t="inlineStr">
        <is>
          <t>Дверь входная установка</t>
        </is>
      </c>
      <c r="D126" s="15" t="inlineStr">
        <is>
          <t>шт</t>
        </is>
      </c>
      <c r="E126" s="25" t="n">
        <v>90</v>
      </c>
      <c r="F126" s="25" t="n">
        <v>110</v>
      </c>
      <c r="G126" s="25" t="n">
        <v>200</v>
      </c>
      <c r="H126" s="15" t="inlineStr">
        <is>
          <t>нет</t>
        </is>
      </c>
      <c r="I126" s="15" t="inlineStr"/>
    </row>
    <row r="127">
      <c r="A127" s="15" t="inlineStr">
        <is>
          <t>X14</t>
        </is>
      </c>
      <c r="B127" s="15" t="inlineStr">
        <is>
          <t>чистовая</t>
        </is>
      </c>
      <c r="C127" s="15" t="inlineStr">
        <is>
          <t>Подоконник ПВХ</t>
        </is>
      </c>
      <c r="D127" s="15" t="inlineStr">
        <is>
          <t>м.п.</t>
        </is>
      </c>
      <c r="E127" s="25" t="n">
        <v>25</v>
      </c>
      <c r="F127" s="25" t="n">
        <v>25</v>
      </c>
      <c r="G127" s="25" t="n">
        <v>25</v>
      </c>
      <c r="H127" s="15" t="inlineStr">
        <is>
          <t>нет</t>
        </is>
      </c>
      <c r="I127" s="15" t="inlineStr"/>
    </row>
    <row r="128">
      <c r="A128" s="15" t="inlineStr">
        <is>
          <t>X15</t>
        </is>
      </c>
      <c r="B128" s="15" t="inlineStr">
        <is>
          <t>чистовая</t>
        </is>
      </c>
      <c r="C128" s="15" t="inlineStr">
        <is>
          <t>Кухня сборка с навеской</t>
        </is>
      </c>
      <c r="D128" s="15" t="inlineStr">
        <is>
          <t>компл</t>
        </is>
      </c>
      <c r="E128" s="25" t="n">
        <v>180</v>
      </c>
      <c r="F128" s="25" t="n">
        <v>300</v>
      </c>
      <c r="G128" s="25" t="n">
        <v>600</v>
      </c>
      <c r="H128" s="15" t="inlineStr">
        <is>
          <t>нет</t>
        </is>
      </c>
      <c r="I128" s="15" t="inlineStr"/>
    </row>
    <row r="129">
      <c r="A129" s="15" t="inlineStr">
        <is>
          <t>O01</t>
        </is>
      </c>
      <c r="B129" s="15" t="inlineStr">
        <is>
          <t>сопутствующее</t>
        </is>
      </c>
      <c r="C129" s="15" t="inlineStr">
        <is>
          <t>Дизайн-проект полный</t>
        </is>
      </c>
      <c r="D129" s="15" t="inlineStr">
        <is>
          <t>м2</t>
        </is>
      </c>
      <c r="E129" s="25" t="n">
        <v>28</v>
      </c>
      <c r="F129" s="25" t="n">
        <v>50</v>
      </c>
      <c r="G129" s="25" t="n">
        <v>120</v>
      </c>
      <c r="H129" s="15" t="inlineStr">
        <is>
          <t>нет</t>
        </is>
      </c>
      <c r="I129" s="15" t="inlineStr"/>
    </row>
    <row r="130">
      <c r="A130" s="15" t="inlineStr">
        <is>
          <t>O02</t>
        </is>
      </c>
      <c r="B130" s="15" t="inlineStr">
        <is>
          <t>сопутствующее</t>
        </is>
      </c>
      <c r="C130" s="15" t="inlineStr">
        <is>
          <t>Технадзор разовый выезд</t>
        </is>
      </c>
      <c r="D130" s="15" t="inlineStr">
        <is>
          <t>шт</t>
        </is>
      </c>
      <c r="E130" s="25" t="n">
        <v>200</v>
      </c>
      <c r="F130" s="25" t="n">
        <v>350</v>
      </c>
      <c r="G130" s="25" t="n">
        <v>450</v>
      </c>
      <c r="H130" s="15" t="inlineStr">
        <is>
          <t>нет</t>
        </is>
      </c>
      <c r="I130" s="15" t="inlineStr"/>
    </row>
    <row r="131">
      <c r="A131" s="15" t="inlineStr">
        <is>
          <t>O03</t>
        </is>
      </c>
      <c r="B131" s="15" t="inlineStr">
        <is>
          <t>сопутствующее</t>
        </is>
      </c>
      <c r="C131" s="15" t="inlineStr">
        <is>
          <t>Технадзор сопровождение</t>
        </is>
      </c>
      <c r="D131" s="15" t="inlineStr">
        <is>
          <t>объект</t>
        </is>
      </c>
      <c r="E131" s="25" t="n">
        <v>1500</v>
      </c>
      <c r="F131" s="25" t="n">
        <v>2000</v>
      </c>
      <c r="G131" s="25" t="n">
        <v>3000</v>
      </c>
      <c r="H131" s="15" t="inlineStr">
        <is>
          <t>нет</t>
        </is>
      </c>
      <c r="I131" s="15" t="inlineStr"/>
    </row>
    <row r="132">
      <c r="A132" s="15" t="inlineStr">
        <is>
          <t>O04</t>
        </is>
      </c>
      <c r="B132" s="15" t="inlineStr">
        <is>
          <t>сопутствующее</t>
        </is>
      </c>
      <c r="C132" s="15" t="inlineStr">
        <is>
          <t>Уборка после ремонта</t>
        </is>
      </c>
      <c r="D132" s="15" t="inlineStr">
        <is>
          <t>м2</t>
        </is>
      </c>
      <c r="E132" s="25" t="n">
        <v>2.5</v>
      </c>
      <c r="F132" s="25" t="n">
        <v>4.5</v>
      </c>
      <c r="G132" s="25" t="n">
        <v>8</v>
      </c>
      <c r="H132" s="15" t="inlineStr">
        <is>
          <t>нет</t>
        </is>
      </c>
      <c r="I132" s="15" t="inlineStr"/>
    </row>
    <row r="133">
      <c r="A133" s="15" t="inlineStr">
        <is>
          <t>O05</t>
        </is>
      </c>
      <c r="B133" s="15" t="inlineStr">
        <is>
          <t>сопутствующее</t>
        </is>
      </c>
      <c r="C133" s="15" t="inlineStr">
        <is>
          <t>Подъём материалов без лифта</t>
        </is>
      </c>
      <c r="D133" s="15" t="inlineStr">
        <is>
          <t>место·этаж</t>
        </is>
      </c>
      <c r="E133" s="25" t="n">
        <v>1</v>
      </c>
      <c r="F133" s="25" t="n">
        <v>1.3</v>
      </c>
      <c r="G133" s="25" t="n">
        <v>1.7</v>
      </c>
      <c r="H133" s="15" t="inlineStr">
        <is>
          <t>нет</t>
        </is>
      </c>
      <c r="I133" s="15" t="inlineStr"/>
    </row>
    <row r="134">
      <c r="A134" s="15" t="inlineStr">
        <is>
          <t>K01</t>
        </is>
      </c>
      <c r="B134" s="15" t="inlineStr">
        <is>
          <t>комплекс</t>
        </is>
      </c>
      <c r="C134" s="15" t="inlineStr">
        <is>
          <t>Косметический работа</t>
        </is>
      </c>
      <c r="D134" s="15" t="inlineStr">
        <is>
          <t>м2 общ</t>
        </is>
      </c>
      <c r="E134" s="25" t="n">
        <v>69</v>
      </c>
      <c r="F134" s="25" t="n">
        <v>200</v>
      </c>
      <c r="G134" s="25" t="n">
        <v>303</v>
      </c>
      <c r="H134" s="15" t="inlineStr">
        <is>
          <t>нет</t>
        </is>
      </c>
      <c r="I134" s="15" t="inlineStr"/>
    </row>
    <row r="135">
      <c r="A135" s="15" t="inlineStr">
        <is>
          <t>K02</t>
        </is>
      </c>
      <c r="B135" s="15" t="inlineStr">
        <is>
          <t>комплекс</t>
        </is>
      </c>
      <c r="C135" s="15" t="inlineStr">
        <is>
          <t>Капитальный вторичка работа</t>
        </is>
      </c>
      <c r="D135" s="15" t="inlineStr">
        <is>
          <t>м2 общ</t>
        </is>
      </c>
      <c r="E135" s="25" t="n">
        <v>99</v>
      </c>
      <c r="F135" s="25" t="n">
        <v>350</v>
      </c>
      <c r="G135" s="25" t="n">
        <v>600</v>
      </c>
      <c r="H135" s="15" t="inlineStr">
        <is>
          <t>нет</t>
        </is>
      </c>
      <c r="I135" s="15" t="inlineStr"/>
    </row>
    <row r="136">
      <c r="A136" s="15" t="inlineStr">
        <is>
          <t>K03</t>
        </is>
      </c>
      <c r="B136" s="15" t="inlineStr">
        <is>
          <t>комплекс</t>
        </is>
      </c>
      <c r="C136" s="15" t="inlineStr">
        <is>
          <t>Евроремонт работа</t>
        </is>
      </c>
      <c r="D136" s="15" t="inlineStr">
        <is>
          <t>м2 общ</t>
        </is>
      </c>
      <c r="E136" s="25" t="n">
        <v>321</v>
      </c>
      <c r="F136" s="25" t="n">
        <v>400</v>
      </c>
      <c r="G136" s="25" t="n">
        <v>600</v>
      </c>
      <c r="H136" s="15" t="inlineStr">
        <is>
          <t>нет</t>
        </is>
      </c>
      <c r="I136" s="15" t="inlineStr"/>
    </row>
    <row r="137">
      <c r="A137" s="15" t="inlineStr">
        <is>
          <t>K04</t>
        </is>
      </c>
      <c r="B137" s="15" t="inlineStr">
        <is>
          <t>комплекс</t>
        </is>
      </c>
      <c r="C137" s="15" t="inlineStr">
        <is>
          <t>Дизайнерский работа</t>
        </is>
      </c>
      <c r="D137" s="15" t="inlineStr">
        <is>
          <t>м2 общ</t>
        </is>
      </c>
      <c r="E137" s="25" t="n">
        <v>199</v>
      </c>
      <c r="F137" s="25" t="n">
        <v>850</v>
      </c>
      <c r="G137" s="25" t="n">
        <v>1500</v>
      </c>
      <c r="H137" s="15" t="inlineStr">
        <is>
          <t>нет</t>
        </is>
      </c>
      <c r="I137" s="15" t="inlineStr"/>
    </row>
    <row r="138">
      <c r="A138" s="15" t="inlineStr">
        <is>
          <t>K05</t>
        </is>
      </c>
      <c r="B138" s="15" t="inlineStr">
        <is>
          <t>комплекс</t>
        </is>
      </c>
      <c r="C138" s="15" t="inlineStr">
        <is>
          <t>Новостройка с нуля работа</t>
        </is>
      </c>
      <c r="D138" s="15" t="inlineStr">
        <is>
          <t>м2 общ</t>
        </is>
      </c>
      <c r="E138" s="25" t="n">
        <v>200</v>
      </c>
      <c r="F138" s="25" t="n">
        <v>470</v>
      </c>
      <c r="G138" s="25" t="n">
        <v>600</v>
      </c>
      <c r="H138" s="15" t="inlineStr">
        <is>
          <t>нет</t>
        </is>
      </c>
      <c r="I138" s="15" t="inlineStr"/>
    </row>
    <row r="139">
      <c r="A139" s="15" t="inlineStr">
        <is>
          <t>K06</t>
        </is>
      </c>
      <c r="B139" s="15" t="inlineStr">
        <is>
          <t>комплекс</t>
        </is>
      </c>
      <c r="C139" s="15" t="inlineStr">
        <is>
          <t>Новостройка с материалами</t>
        </is>
      </c>
      <c r="D139" s="15" t="inlineStr">
        <is>
          <t>м2 общ</t>
        </is>
      </c>
      <c r="E139" s="25" t="n">
        <v>606</v>
      </c>
      <c r="F139" s="25" t="n">
        <v>760</v>
      </c>
      <c r="G139" s="25" t="n">
        <v>1061</v>
      </c>
      <c r="H139" s="15" t="inlineStr">
        <is>
          <t>да</t>
        </is>
      </c>
      <c r="I139" s="15" t="inlineStr"/>
    </row>
    <row r="141">
      <c r="A141" s="2" t="inlineStr">
        <is>
          <t>Источник: памятки/смета-источники/01-цены-работы.md, срез 27.09.2026. «Типично» — медиана прайсов компаний с договором.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74" customWidth="1" min="4" max="4"/>
    <col width="14" customWidth="1" min="5" max="5"/>
    <col width="11" customWidth="1" min="6" max="6"/>
    <col width="14" customWidth="1" min="7" max="7"/>
    <col width="30" customWidth="1" min="8" max="8"/>
  </cols>
  <sheetData>
    <row r="1">
      <c r="A1" s="22" t="inlineStr">
        <is>
          <t>Код</t>
        </is>
      </c>
      <c r="B1" s="22" t="inlineStr">
        <is>
          <t>Узел</t>
        </is>
      </c>
      <c r="C1" s="22" t="inlineStr">
        <is>
          <t>Ед.</t>
        </is>
      </c>
      <c r="D1" s="22" t="inlineStr">
        <is>
          <t>Состав и расход на единицу / основание</t>
        </is>
      </c>
      <c r="E1" s="22" t="inlineStr">
        <is>
          <t>Материал, BYN/ед.</t>
        </is>
      </c>
      <c r="F1" s="22" t="inlineStr">
        <is>
          <t>Код ставки</t>
        </is>
      </c>
      <c r="G1" s="22" t="inlineStr">
        <is>
          <t>Работа, BYN/ед.</t>
        </is>
      </c>
      <c r="H1" s="22" t="inlineStr">
        <is>
          <t>Примечание</t>
        </is>
      </c>
    </row>
    <row r="2">
      <c r="A2" s="15" t="inlineStr">
        <is>
          <t>M01</t>
        </is>
      </c>
      <c r="B2" s="15" t="inlineStr">
        <is>
          <t>Демонтаж участков перегородок и вырезка проёмов 800/900 (кирпич/блок ~140 мм)</t>
        </is>
      </c>
      <c r="C2" s="15" t="inlineStr">
        <is>
          <t>м²</t>
        </is>
      </c>
      <c r="D2" s="21" t="inlineStr">
        <is>
          <t>лист 3: участки 280+500+260+50 мм × 2,73 + проёмы 0,8×2,1 и 0,9×2,1</t>
        </is>
      </c>
      <c r="E2" s="23" t="n">
        <v>0</v>
      </c>
      <c r="F2" s="15" t="inlineStr">
        <is>
          <t>D01</t>
        </is>
      </c>
      <c r="G2" s="26">
        <f>INDEX(Ставки!$F$2:$F$139,MATCH(F2,Ставки!$A$2:$A$139,0))</f>
        <v>14.0</v>
      </c>
      <c r="H2" s="2" t="inlineStr"/>
    </row>
    <row r="3">
      <c r="A3" s="15" t="inlineStr">
        <is>
          <t>M02</t>
        </is>
      </c>
      <c r="B3" s="15" t="inlineStr">
        <is>
          <t>Демонтаж радиаторов</t>
        </is>
      </c>
      <c r="C3" s="15" t="inlineStr">
        <is>
          <t>шт</t>
        </is>
      </c>
      <c r="D3" s="21" t="inlineStr">
        <is>
          <t>лист 3: 2 шт (600 и 700)</t>
        </is>
      </c>
      <c r="E3" s="23" t="n">
        <v>0</v>
      </c>
      <c r="F3" s="15" t="inlineStr">
        <is>
          <t>D14</t>
        </is>
      </c>
      <c r="G3" s="26">
        <f>INDEX(Ставки!$F$2:$F$139,MATCH(F3,Ставки!$A$2:$A$139,0))</f>
        <v>30.0</v>
      </c>
      <c r="H3" s="2" t="inlineStr"/>
    </row>
    <row r="4">
      <c r="A4" s="15" t="inlineStr">
        <is>
          <t>M03</t>
        </is>
      </c>
      <c r="B4" s="15" t="inlineStr">
        <is>
          <t>Демонтаж эл. щитка с переносом (ниша в стене h=1500)</t>
        </is>
      </c>
      <c r="C4" s="15" t="inlineStr">
        <is>
          <t>шт</t>
        </is>
      </c>
      <c r="D4" s="21" t="inlineStr">
        <is>
          <t>лист 3–4: щиток утопить в стену; штроба ниши, перенос ввода</t>
        </is>
      </c>
      <c r="E4" s="23" t="n">
        <v>30</v>
      </c>
      <c r="F4" s="2" t="inlineStr">
        <is>
          <t>ввод</t>
        </is>
      </c>
      <c r="G4" s="23" t="n">
        <v>150</v>
      </c>
      <c r="H4" s="2" t="inlineStr">
        <is>
          <t>оценка</t>
        </is>
      </c>
    </row>
    <row r="5">
      <c r="A5" s="15" t="inlineStr">
        <is>
          <t>M04</t>
        </is>
      </c>
      <c r="B5" s="15" t="inlineStr">
        <is>
          <t>Вынос мусора, мешок</t>
        </is>
      </c>
      <c r="C5" s="15" t="inlineStr">
        <is>
          <t>мешок</t>
        </is>
      </c>
      <c r="D5" s="21" t="inlineStr">
        <is>
          <t>0,6–0,8 руб. мешок</t>
        </is>
      </c>
      <c r="E5" s="23" t="n">
        <v>0.7</v>
      </c>
      <c r="F5" s="15" t="inlineStr">
        <is>
          <t>D15</t>
        </is>
      </c>
      <c r="G5" s="26">
        <f>INDEX(Ставки!$F$2:$F$139,MATCH(F5,Ставки!$A$2:$A$139,0))</f>
        <v>2.0</v>
      </c>
      <c r="H5" s="2" t="inlineStr"/>
    </row>
    <row r="6">
      <c r="A6" s="15" t="inlineStr">
        <is>
          <t>M05</t>
        </is>
      </c>
      <c r="B6" s="15" t="inlineStr">
        <is>
          <t>Контейнер 8 м³ / Газель</t>
        </is>
      </c>
      <c r="C6" s="15" t="inlineStr">
        <is>
          <t>рейс</t>
        </is>
      </c>
      <c r="D6" s="21" t="inlineStr">
        <is>
          <t>блоки, штукатурка 1 800 кг/м³</t>
        </is>
      </c>
      <c r="E6" s="23" t="n">
        <v>0</v>
      </c>
      <c r="F6" s="15" t="inlineStr">
        <is>
          <t>D16</t>
        </is>
      </c>
      <c r="G6" s="26">
        <f>INDEX(Ставки!$F$2:$F$139,MATCH(F6,Ставки!$A$2:$A$139,0))</f>
        <v>180.0</v>
      </c>
      <c r="H6" s="2" t="inlineStr">
        <is>
          <t>при большом объёме — контейнер 365</t>
        </is>
      </c>
    </row>
    <row r="7">
      <c r="A7" s="15" t="inlineStr">
        <is>
          <t>M06</t>
        </is>
      </c>
      <c r="B7" s="15" t="inlineStr">
        <is>
          <t>Перегородка керамзитобетон 120 мм</t>
        </is>
      </c>
      <c r="C7" s="15" t="inlineStr">
        <is>
          <t>м²</t>
        </is>
      </c>
      <c r="D7" s="21" t="inlineStr">
        <is>
          <t>лист 4: S=5,5 м²; блок 510×120×240 ≈ 8,2 шт × 4,96 + клей 3 кг + анкеры, сетка</t>
        </is>
      </c>
      <c r="E7" s="23" t="n">
        <v>44</v>
      </c>
      <c r="F7" s="15" t="inlineStr">
        <is>
          <t>W17</t>
        </is>
      </c>
      <c r="G7" s="26">
        <f>INDEX(Ставки!$F$2:$F$139,MATCH(F7,Ставки!$A$2:$A$139,0))</f>
        <v>36.0</v>
      </c>
      <c r="H7" s="2" t="inlineStr"/>
    </row>
    <row r="8">
      <c r="A8" s="15" t="inlineStr">
        <is>
          <t>M07</t>
        </is>
      </c>
      <c r="B8" s="15" t="inlineStr">
        <is>
          <t>Перегородка керамзитобетон 100 мм</t>
        </is>
      </c>
      <c r="C8" s="15" t="inlineStr">
        <is>
          <t>м²</t>
        </is>
      </c>
      <c r="D8" s="21" t="inlineStr">
        <is>
          <t>лист 4: S=11,67 м²; блок 400×100×240 ≈ 10,4 шт × 3,29 + клей + анкеры</t>
        </is>
      </c>
      <c r="E8" s="23" t="n">
        <v>38</v>
      </c>
      <c r="F8" s="15" t="inlineStr">
        <is>
          <t>W17</t>
        </is>
      </c>
      <c r="G8" s="26">
        <f>INDEX(Ставки!$F$2:$F$139,MATCH(F8,Ставки!$A$2:$A$139,0))</f>
        <v>36.0</v>
      </c>
      <c r="H8" s="2" t="inlineStr"/>
    </row>
    <row r="9">
      <c r="A9" s="15" t="inlineStr">
        <is>
          <t>M08</t>
        </is>
      </c>
      <c r="B9" s="15" t="inlineStr">
        <is>
          <t>Перемычка над проёмом 900 в новой перегородке</t>
        </is>
      </c>
      <c r="C9" s="15" t="inlineStr">
        <is>
          <t>шт</t>
        </is>
      </c>
      <c r="D9" s="21" t="inlineStr">
        <is>
          <t>уголок/брусковая перемычка</t>
        </is>
      </c>
      <c r="E9" s="23" t="n">
        <v>40</v>
      </c>
      <c r="F9" s="2" t="inlineStr">
        <is>
          <t>ввод</t>
        </is>
      </c>
      <c r="G9" s="23" t="n">
        <v>60</v>
      </c>
      <c r="H9" s="2" t="inlineStr">
        <is>
          <t>оценка</t>
        </is>
      </c>
    </row>
    <row r="10">
      <c r="A10" s="15" t="inlineStr">
        <is>
          <t>M09</t>
        </is>
      </c>
      <c r="B10" s="15" t="inlineStr">
        <is>
          <t>Короб ГКЛВ инсталляции h=1200 и зашивки стояков</t>
        </is>
      </c>
      <c r="C10" s="15" t="inlineStr">
        <is>
          <t>м.п.</t>
        </is>
      </c>
      <c r="D10" s="21" t="inlineStr">
        <is>
          <t>лист 6–7: ВГКЛ + профиль ПС/ПН</t>
        </is>
      </c>
      <c r="E10" s="23" t="n">
        <v>45</v>
      </c>
      <c r="F10" s="15" t="inlineStr">
        <is>
          <t>S19</t>
        </is>
      </c>
      <c r="G10" s="26">
        <f>INDEX(Ставки!$F$2:$F$139,MATCH(F10,Ставки!$A$2:$A$139,0))</f>
        <v>160.0</v>
      </c>
      <c r="H10" s="2" t="inlineStr"/>
    </row>
    <row r="11">
      <c r="A11" s="15" t="inlineStr">
        <is>
          <t>M10</t>
        </is>
      </c>
      <c r="B11" s="15" t="inlineStr">
        <is>
          <t>Люк ревизионный скрытый под плитку/микроцемент</t>
        </is>
      </c>
      <c r="C11" s="15" t="inlineStr">
        <is>
          <t>шт</t>
        </is>
      </c>
      <c r="D11" s="21" t="inlineStr">
        <is>
          <t>люк 300×400 ≈ 120</t>
        </is>
      </c>
      <c r="E11" s="23" t="n">
        <v>120</v>
      </c>
      <c r="F11" s="15" t="inlineStr">
        <is>
          <t>T05</t>
        </is>
      </c>
      <c r="G11" s="26">
        <f>INDEX(Ставки!$F$2:$F$139,MATCH(F11,Ставки!$A$2:$A$139,0))</f>
        <v>110.0</v>
      </c>
      <c r="H11" s="2" t="inlineStr"/>
    </row>
    <row r="12">
      <c r="A12" s="15" t="inlineStr">
        <is>
          <t>M11</t>
        </is>
      </c>
      <c r="B12" s="15" t="inlineStr">
        <is>
          <t>Штукатурка гипсовая по маякам 15 мм — ТОЛЬКО новые перегородки (обе стороны)</t>
        </is>
      </c>
      <c r="C12" s="15" t="inlineStr">
        <is>
          <t>м²</t>
        </is>
      </c>
      <c r="D12" s="21" t="inlineStr">
        <is>
          <t>Rotband/ilmax 12,8 кг × 0,63 + грунт + маяки + сетка на стыках со старыми стенами</t>
        </is>
      </c>
      <c r="E12" s="23" t="n">
        <v>9.5</v>
      </c>
      <c r="F12" s="15" t="inlineStr">
        <is>
          <t>W01</t>
        </is>
      </c>
      <c r="G12" s="26">
        <f>INDEX(Ставки!$F$2:$F$139,MATCH(F12,Ставки!$A$2:$A$139,0))</f>
        <v>20.0</v>
      </c>
      <c r="H12" s="2" t="inlineStr"/>
    </row>
    <row r="13">
      <c r="A13" s="15" t="inlineStr">
        <is>
          <t>M12</t>
        </is>
      </c>
      <c r="B13" s="15" t="inlineStr">
        <is>
          <t>Откосы окон и балконной двери: штукатурка + шпаклёвка + покраска</t>
        </is>
      </c>
      <c r="C13" s="15" t="inlineStr">
        <is>
          <t>м.п.</t>
        </is>
      </c>
      <c r="D13" s="21" t="inlineStr">
        <is>
          <t>3 окна + балконная дверь; уголок, смесь, шпаклёвка, краска</t>
        </is>
      </c>
      <c r="E13" s="23" t="n">
        <v>8</v>
      </c>
      <c r="F13" s="15" t="inlineStr">
        <is>
          <t>C08</t>
        </is>
      </c>
      <c r="G13" s="26">
        <f>INDEX(Ставки!$F$2:$F$139,MATCH(F13,Ставки!$A$2:$A$139,0))</f>
        <v>45.0</v>
      </c>
      <c r="H13" s="2" t="inlineStr"/>
    </row>
    <row r="14">
      <c r="A14" s="15" t="inlineStr">
        <is>
          <t>M13</t>
        </is>
      </c>
      <c r="B14" s="15" t="inlineStr">
        <is>
          <t>Шпаклёвка Q3 по существующим стенам под покраску и декоративную штукатурку</t>
        </is>
      </c>
      <c r="C14" s="15" t="inlineStr">
        <is>
          <t>м²</t>
        </is>
      </c>
      <c r="D14" s="21" t="inlineStr">
        <is>
          <t>старт 2,2 кг × 1,0 + финиш 1,1 кг × 1,5 + грунт 0,4 кг + сетка стыков + шкурка</t>
        </is>
      </c>
      <c r="E14" s="23" t="n">
        <v>8.300000000000001</v>
      </c>
      <c r="F14" s="15" t="inlineStr">
        <is>
          <t>W09</t>
        </is>
      </c>
      <c r="G14" s="26">
        <f>INDEX(Ставки!$F$2:$F$139,MATCH(F14,Ставки!$A$2:$A$139,0))</f>
        <v>30.0</v>
      </c>
      <c r="H14" s="2" t="inlineStr"/>
    </row>
    <row r="15">
      <c r="A15" s="15" t="inlineStr">
        <is>
          <t>M14</t>
        </is>
      </c>
      <c r="B15" s="15" t="inlineStr">
        <is>
          <t>Стеклохолст 40 г/м² на клей (под покраску и Marmorino)</t>
        </is>
      </c>
      <c r="C15" s="15" t="inlineStr">
        <is>
          <t>м²</t>
        </is>
      </c>
      <c r="D15" s="21" t="inlineStr">
        <is>
          <t>холст 1,1 м² × 1,5 + клей 0,25 кг × 6</t>
        </is>
      </c>
      <c r="E15" s="23" t="n">
        <v>3.2</v>
      </c>
      <c r="F15" s="15" t="inlineStr">
        <is>
          <t>W07</t>
        </is>
      </c>
      <c r="G15" s="26">
        <f>INDEX(Ставки!$F$2:$F$139,MATCH(F15,Ставки!$A$2:$A$139,0))</f>
        <v>9.0</v>
      </c>
      <c r="H15" s="2" t="inlineStr"/>
    </row>
    <row r="16">
      <c r="A16" s="15" t="inlineStr">
        <is>
          <t>M15</t>
        </is>
      </c>
      <c r="B16" s="15" t="inlineStr">
        <is>
          <t>Шпаклёвка Q2 под обои и фотообои</t>
        </is>
      </c>
      <c r="C16" s="15" t="inlineStr">
        <is>
          <t>м²</t>
        </is>
      </c>
      <c r="D16" s="21" t="inlineStr">
        <is>
          <t>старт 1,5 кг + грунт 0,25 кг + шкурка</t>
        </is>
      </c>
      <c r="E16" s="23" t="n">
        <v>3</v>
      </c>
      <c r="F16" s="15" t="inlineStr">
        <is>
          <t>W08</t>
        </is>
      </c>
      <c r="G16" s="26">
        <f>INDEX(Ставки!$F$2:$F$139,MATCH(F16,Ставки!$A$2:$A$139,0))</f>
        <v>14.0</v>
      </c>
      <c r="H16" s="2" t="inlineStr"/>
    </row>
    <row r="17">
      <c r="A17" s="15" t="inlineStr">
        <is>
          <t>M16</t>
        </is>
      </c>
      <c r="B17" s="15" t="inlineStr">
        <is>
          <t>Подготовка стен санузла под микроцемент (цементная шпаклёвка Q3 + грунт)</t>
        </is>
      </c>
      <c r="C17" s="15" t="inlineStr">
        <is>
          <t>м²</t>
        </is>
      </c>
      <c r="D17" s="21" t="inlineStr">
        <is>
          <t>ilmax 6400 цементная 2,5 кг × 1,2 + грунт; санузел, 18 м²</t>
        </is>
      </c>
      <c r="E17" s="23" t="n">
        <v>4.5</v>
      </c>
      <c r="F17" s="15" t="inlineStr">
        <is>
          <t>W09</t>
        </is>
      </c>
      <c r="G17" s="26">
        <f>INDEX(Ставки!$F$2:$F$139,MATCH(F17,Ставки!$A$2:$A$139,0))</f>
        <v>30.0</v>
      </c>
      <c r="H17" s="2" t="inlineStr"/>
    </row>
    <row r="18">
      <c r="A18" s="15" t="inlineStr">
        <is>
          <t>M17</t>
        </is>
      </c>
      <c r="B18" s="15" t="inlineStr">
        <is>
          <t>Подготовка существующей стяжки: шлифовка, пылесос, ремонт трещин, CM-тест</t>
        </is>
      </c>
      <c r="C18" s="15" t="inlineStr">
        <is>
          <t>м²</t>
        </is>
      </c>
      <c r="D18" s="21" t="inlineStr">
        <is>
          <t>ремсостав, диски; протокол влажности</t>
        </is>
      </c>
      <c r="E18" s="23" t="n">
        <v>0.5</v>
      </c>
      <c r="F18" s="2" t="inlineStr">
        <is>
          <t>ввод</t>
        </is>
      </c>
      <c r="G18" s="23" t="n">
        <v>4</v>
      </c>
      <c r="H18" s="2" t="inlineStr">
        <is>
          <t>оценка</t>
        </is>
      </c>
    </row>
    <row r="19">
      <c r="A19" s="15" t="inlineStr">
        <is>
          <t>M18</t>
        </is>
      </c>
      <c r="B19" s="15" t="inlineStr">
        <is>
          <t>Самонивелир 10 мм с грунтом ×2 и демпфером (по проекту, лист 14 узел V1)</t>
        </is>
      </c>
      <c r="C19" s="15" t="inlineStr">
        <is>
          <t>м²</t>
        </is>
      </c>
      <c r="D19" s="21" t="inlineStr">
        <is>
          <t>смесь 1,7 кг/мм × 10 = 17 кг × 0,8 + грунт 0,25 кг × 4 + демпфер</t>
        </is>
      </c>
      <c r="E19" s="23" t="n">
        <v>15.6</v>
      </c>
      <c r="F19" s="15" t="inlineStr">
        <is>
          <t>F04</t>
        </is>
      </c>
      <c r="G19" s="26">
        <f>INDEX(Ставки!$F$2:$F$139,MATCH(F19,Ставки!$A$2:$A$139,0))</f>
        <v>18.0</v>
      </c>
      <c r="H19" s="2" t="inlineStr"/>
    </row>
    <row r="20">
      <c r="A20" s="15" t="inlineStr">
        <is>
          <t>M19</t>
        </is>
      </c>
      <c r="B20" s="15" t="inlineStr">
        <is>
          <t>Клеевой винил Quick-Step Pristine, палуба (запас 7 %)</t>
        </is>
      </c>
      <c r="C20" s="15" t="inlineStr">
        <is>
          <t>м²</t>
        </is>
      </c>
      <c r="D20" s="21" t="inlineStr">
        <is>
          <t>лист 14: 49 м² без запаса; цена LVT ~55 × 1,07 + клей 0,3 кг × 10 (оценка)</t>
        </is>
      </c>
      <c r="E20" s="23" t="n">
        <v>62</v>
      </c>
      <c r="F20" s="15" t="inlineStr">
        <is>
          <t>F17</t>
        </is>
      </c>
      <c r="G20" s="26">
        <f>INDEX(Ставки!$F$2:$F$139,MATCH(F20,Ставки!$A$2:$A$139,0))</f>
        <v>30.0</v>
      </c>
      <c r="H20" s="2" t="inlineStr">
        <is>
          <t>цену Quick-Step уточнить у alexparket/ecopol</t>
        </is>
      </c>
    </row>
    <row r="21">
      <c r="A21" s="15" t="inlineStr">
        <is>
          <t>M20</t>
        </is>
      </c>
      <c r="B21" s="15" t="inlineStr">
        <is>
          <t>Керамогранит на пол санузла Argenta Westone 120×60</t>
        </is>
      </c>
      <c r="C21" s="15" t="inlineStr">
        <is>
          <t>м²</t>
        </is>
      </c>
      <c r="D21" s="21" t="inlineStr">
        <is>
          <t>клей C2 6 кг × 0,8 + затирка эпокси 0,4 кг × 70 + СВП; плитка ~110 × 1,1</t>
        </is>
      </c>
      <c r="E21" s="23" t="n">
        <v>160</v>
      </c>
      <c r="F21" s="15" t="inlineStr">
        <is>
          <t>F11</t>
        </is>
      </c>
      <c r="G21" s="26">
        <f>INDEX(Ставки!$F$2:$F$139,MATCH(F21,Ставки!$A$2:$A$139,0))</f>
        <v>65.0</v>
      </c>
      <c r="H21" s="2" t="inlineStr"/>
    </row>
    <row r="22">
      <c r="A22" s="15" t="inlineStr">
        <is>
          <t>M21</t>
        </is>
      </c>
      <c r="B22" s="15" t="inlineStr">
        <is>
          <t>Керамогранит у входа Ponza Lilly 200×200 (50 шт)</t>
        </is>
      </c>
      <c r="C22" s="15" t="inlineStr">
        <is>
          <t>м²</t>
        </is>
      </c>
      <c r="D22" s="21" t="inlineStr">
        <is>
          <t>клей 5 кг × 0,6 + затирка 0,6 кг × 5 + плитка ~60 × 1,08</t>
        </is>
      </c>
      <c r="E22" s="23" t="n">
        <v>71</v>
      </c>
      <c r="F22" s="15" t="inlineStr">
        <is>
          <t>F09</t>
        </is>
      </c>
      <c r="G22" s="26">
        <f>INDEX(Ставки!$F$2:$F$139,MATCH(F22,Ставки!$A$2:$A$139,0))</f>
        <v>45.0</v>
      </c>
      <c r="H22" s="2" t="inlineStr"/>
    </row>
    <row r="23">
      <c r="A23" s="15" t="inlineStr">
        <is>
          <t>M22</t>
        </is>
      </c>
      <c r="B23" s="15" t="inlineStr">
        <is>
          <t>Гидроизоляция санузла обмазочная 2 слоя (пол + стены 300 мм + душевая зона)</t>
        </is>
      </c>
      <c r="C23" s="15" t="inlineStr">
        <is>
          <t>м²</t>
        </is>
      </c>
      <c r="D23" s="21" t="inlineStr">
        <is>
          <t>Ceresit CR 65 3 кг × 1,84 + лента 0,6 м × 5</t>
        </is>
      </c>
      <c r="E23" s="23" t="n">
        <v>8.5</v>
      </c>
      <c r="F23" s="15" t="inlineStr">
        <is>
          <t>F05</t>
        </is>
      </c>
      <c r="G23" s="26">
        <f>INDEX(Ставки!$F$2:$F$139,MATCH(F23,Ставки!$A$2:$A$139,0))</f>
        <v>10.0</v>
      </c>
      <c r="H23" s="2" t="inlineStr"/>
    </row>
    <row r="24">
      <c r="A24" s="15" t="inlineStr">
        <is>
          <t>M23</t>
        </is>
      </c>
      <c r="B24" s="15" t="inlineStr">
        <is>
          <t>Тёплый пол электрический Nexans (кабель в санузле и прихожей)</t>
        </is>
      </c>
      <c r="C24" s="15" t="inlineStr">
        <is>
          <t>м²</t>
        </is>
      </c>
      <c r="D24" s="21" t="inlineStr">
        <is>
          <t>лист 13: 2,14 + 0,63 м² (балкон 2,2 м² исключён — незаконно); кабель ~90/м²</t>
        </is>
      </c>
      <c r="E24" s="23" t="n">
        <v>90</v>
      </c>
      <c r="F24" s="15" t="inlineStr">
        <is>
          <t>F07</t>
        </is>
      </c>
      <c r="G24" s="26">
        <f>INDEX(Ставки!$F$2:$F$139,MATCH(F24,Ставки!$A$2:$A$139,0))</f>
        <v>44.0</v>
      </c>
      <c r="H24" s="2" t="inlineStr"/>
    </row>
    <row r="25">
      <c r="A25" s="15" t="inlineStr">
        <is>
          <t>M24</t>
        </is>
      </c>
      <c r="B25" s="15" t="inlineStr">
        <is>
          <t>Терморегулятор</t>
        </is>
      </c>
      <c r="C25" s="15" t="inlineStr">
        <is>
          <t>шт</t>
        </is>
      </c>
      <c r="D25" s="21" t="inlineStr">
        <is>
          <t>программируемый 72</t>
        </is>
      </c>
      <c r="E25" s="23" t="n">
        <v>72</v>
      </c>
      <c r="F25" s="2" t="inlineStr">
        <is>
          <t>ввод</t>
        </is>
      </c>
      <c r="G25" s="23" t="n">
        <v>50</v>
      </c>
      <c r="H25" s="2" t="inlineStr">
        <is>
          <t>по прайсам 50–66</t>
        </is>
      </c>
    </row>
    <row r="26">
      <c r="A26" s="15" t="inlineStr">
        <is>
          <t>M25</t>
        </is>
      </c>
      <c r="B26" s="15" t="inlineStr">
        <is>
          <t>Плинтус МДФ OHZ HM-1540</t>
        </is>
      </c>
      <c r="C26" s="15" t="inlineStr">
        <is>
          <t>м.п.</t>
        </is>
      </c>
      <c r="D26" s="21" t="inlineStr">
        <is>
          <t>лист 26: 17 шт × 2,07 м; 7,4 руб./шт + крепёж, герметик</t>
        </is>
      </c>
      <c r="E26" s="23" t="n">
        <v>4.5</v>
      </c>
      <c r="F26" s="15" t="inlineStr">
        <is>
          <t>F20</t>
        </is>
      </c>
      <c r="G26" s="26">
        <f>INDEX(Ставки!$F$2:$F$139,MATCH(F26,Ставки!$A$2:$A$139,0))</f>
        <v>19.0</v>
      </c>
      <c r="H26" s="2" t="inlineStr"/>
    </row>
    <row r="27">
      <c r="A27" s="15" t="inlineStr">
        <is>
          <t>M26</t>
        </is>
      </c>
      <c r="B27" s="15" t="inlineStr">
        <is>
          <t>Порожки / стык LVT–керамогранит через герметик</t>
        </is>
      </c>
      <c r="C27" s="15" t="inlineStr">
        <is>
          <t>шт</t>
        </is>
      </c>
      <c r="D27" s="21" t="inlineStr">
        <is>
          <t>лист 14: латунный/пробковый порожек 20–35</t>
        </is>
      </c>
      <c r="E27" s="23" t="n">
        <v>28</v>
      </c>
      <c r="F27" s="15" t="inlineStr">
        <is>
          <t>F22</t>
        </is>
      </c>
      <c r="G27" s="26">
        <f>INDEX(Ставки!$F$2:$F$139,MATCH(F27,Ставки!$A$2:$A$139,0))</f>
        <v>25.0</v>
      </c>
      <c r="H27" s="2" t="inlineStr"/>
    </row>
    <row r="28">
      <c r="A28" s="15" t="inlineStr">
        <is>
          <t>M27</t>
        </is>
      </c>
      <c r="B28" s="15" t="inlineStr">
        <is>
          <t>Натяжной потолок ПВХ матовый, с материалом и монтажом</t>
        </is>
      </c>
      <c r="C28" s="15" t="inlineStr">
        <is>
          <t>м²</t>
        </is>
      </c>
      <c r="D28" s="21" t="inlineStr">
        <is>
          <t>лист 17: 45 м²; ставка с материалом</t>
        </is>
      </c>
      <c r="E28" s="23" t="n">
        <v>0</v>
      </c>
      <c r="F28" s="15" t="inlineStr">
        <is>
          <t>C03</t>
        </is>
      </c>
      <c r="G28" s="26">
        <f>INDEX(Ставки!$F$2:$F$139,MATCH(F28,Ставки!$A$2:$A$139,0))</f>
        <v>28.0</v>
      </c>
      <c r="H28" s="2" t="inlineStr">
        <is>
          <t>с материалом</t>
        </is>
      </c>
    </row>
    <row r="29">
      <c r="A29" s="15" t="inlineStr">
        <is>
          <t>M28</t>
        </is>
      </c>
      <c r="B29" s="15" t="inlineStr">
        <is>
          <t>Теневой профиль EuroLumFer 02 по периметру</t>
        </is>
      </c>
      <c r="C29" s="15" t="inlineStr">
        <is>
          <t>м.п.</t>
        </is>
      </c>
      <c r="D29" s="21" t="inlineStr">
        <is>
          <t>ставка с материалом 21–39</t>
        </is>
      </c>
      <c r="E29" s="23" t="n">
        <v>0</v>
      </c>
      <c r="F29" s="15" t="inlineStr">
        <is>
          <t>C05</t>
        </is>
      </c>
      <c r="G29" s="26">
        <f>INDEX(Ставки!$F$2:$F$139,MATCH(F29,Ставки!$A$2:$A$139,0))</f>
        <v>21.0</v>
      </c>
      <c r="H29" s="2" t="inlineStr">
        <is>
          <t>с материалом</t>
        </is>
      </c>
    </row>
    <row r="30">
      <c r="A30" s="15" t="inlineStr">
        <is>
          <t>M29</t>
        </is>
      </c>
      <c r="B30" s="15" t="inlineStr">
        <is>
          <t>Карнизная ниша LumFer SK Magnum / Levium / Volat</t>
        </is>
      </c>
      <c r="C30" s="15" t="inlineStr">
        <is>
          <t>м.п.</t>
        </is>
      </c>
      <c r="D30" s="21" t="inlineStr">
        <is>
          <t>лист 17: 9 м.п. SK Magnum + Levium 01 + Volat; профиль ~35/м.п. + монтаж</t>
        </is>
      </c>
      <c r="E30" s="23" t="n">
        <v>35</v>
      </c>
      <c r="F30" s="2" t="inlineStr">
        <is>
          <t>ввод</t>
        </is>
      </c>
      <c r="G30" s="23" t="n">
        <v>40</v>
      </c>
      <c r="H30" s="2" t="inlineStr">
        <is>
          <t>оценка</t>
        </is>
      </c>
    </row>
    <row r="31">
      <c r="A31" s="15" t="inlineStr">
        <is>
          <t>M30</t>
        </is>
      </c>
      <c r="B31" s="15" t="inlineStr">
        <is>
          <t>Закладные под светильники и вент. решётку</t>
        </is>
      </c>
      <c r="C31" s="15" t="inlineStr">
        <is>
          <t>шт</t>
        </is>
      </c>
      <c r="D31" s="21" t="inlineStr">
        <is>
          <t>платформа 5 + монтаж</t>
        </is>
      </c>
      <c r="E31" s="23" t="n">
        <v>5</v>
      </c>
      <c r="F31" s="2" t="inlineStr">
        <is>
          <t>ввод</t>
        </is>
      </c>
      <c r="G31" s="23" t="n">
        <v>16</v>
      </c>
      <c r="H31" s="2" t="inlineStr">
        <is>
          <t>vache-nebo 16/шт</t>
        </is>
      </c>
    </row>
    <row r="32">
      <c r="A32" s="15" t="inlineStr">
        <is>
          <t>M31</t>
        </is>
      </c>
      <c r="B32" s="15" t="inlineStr">
        <is>
          <t>Окраска стен MAV Flagman 35, 2 слоя + грунт (УСЛ-1)</t>
        </is>
      </c>
      <c r="C32" s="15" t="inlineStr">
        <is>
          <t>м²</t>
        </is>
      </c>
      <c r="D32" s="21" t="inlineStr">
        <is>
          <t>лист 12: 50 м²; краска 11 л = 200 руб. ≈ 0,3 л/м² → 5,5 + грунт 0,4</t>
        </is>
      </c>
      <c r="E32" s="23" t="n">
        <v>6</v>
      </c>
      <c r="F32" s="15" t="inlineStr">
        <is>
          <t>X01</t>
        </is>
      </c>
      <c r="G32" s="26">
        <f>INDEX(Ставки!$F$2:$F$139,MATCH(F32,Ставки!$A$2:$A$139,0))</f>
        <v>10.0</v>
      </c>
      <c r="H32" s="2" t="inlineStr"/>
    </row>
    <row r="33">
      <c r="A33" s="15" t="inlineStr">
        <is>
          <t>M32</t>
        </is>
      </c>
      <c r="B33" s="15" t="inlineStr">
        <is>
          <t>Декоративная штукатурка Marmorino Naturale Fine (ДК-1), 2–3 слоя с железнением</t>
        </is>
      </c>
      <c r="C33" s="15" t="inlineStr">
        <is>
          <t>м²</t>
        </is>
      </c>
      <c r="D33" s="21" t="inlineStr">
        <is>
          <t>лист 12: 61 м²; материал premiumdecor ~18/м² + грунт с кварцем 3 (оценка)</t>
        </is>
      </c>
      <c r="E33" s="23" t="n">
        <v>21</v>
      </c>
      <c r="F33" s="2" t="inlineStr">
        <is>
          <t>ввод</t>
        </is>
      </c>
      <c r="G33" s="23" t="n">
        <v>70</v>
      </c>
      <c r="H33" s="2" t="inlineStr">
        <is>
          <t>оценка; рынок 35–100</t>
        </is>
      </c>
    </row>
    <row r="34">
      <c r="A34" s="15" t="inlineStr">
        <is>
          <t>M33</t>
        </is>
      </c>
      <c r="B34" s="15" t="inlineStr">
        <is>
          <t>Обои Grandeco Keen KE1006 (ОБ-1)</t>
        </is>
      </c>
      <c r="C34" s="15" t="inlineStr">
        <is>
          <t>м²</t>
        </is>
      </c>
      <c r="D34" s="21" t="inlineStr">
        <is>
          <t>лист 12: 23,5 м², 3–4 рулона × ~150 руб. (оценка)</t>
        </is>
      </c>
      <c r="E34" s="23" t="n">
        <v>21</v>
      </c>
      <c r="F34" s="15" t="inlineStr">
        <is>
          <t>X08</t>
        </is>
      </c>
      <c r="G34" s="26">
        <f>INDEX(Ставки!$F$2:$F$139,MATCH(F34,Ставки!$A$2:$A$139,0))</f>
        <v>10.0</v>
      </c>
      <c r="H34" s="2" t="inlineStr"/>
    </row>
    <row r="35">
      <c r="A35" s="15" t="inlineStr">
        <is>
          <t>M34</t>
        </is>
      </c>
      <c r="B35" s="15" t="inlineStr">
        <is>
          <t>Фотообои Vinni.by (ФО-1, ФО-2)</t>
        </is>
      </c>
      <c r="C35" s="15" t="inlineStr">
        <is>
          <t>м²</t>
        </is>
      </c>
      <c r="D35" s="21" t="inlineStr">
        <is>
          <t>лист 12: 12,8 + 4,65 м²; печать ~45/м² (оценка)</t>
        </is>
      </c>
      <c r="E35" s="23" t="n">
        <v>45</v>
      </c>
      <c r="F35" s="2" t="inlineStr">
        <is>
          <t>ввод</t>
        </is>
      </c>
      <c r="G35" s="23" t="n">
        <v>15</v>
      </c>
      <c r="H35" s="2" t="inlineStr">
        <is>
          <t>оценка</t>
        </is>
      </c>
    </row>
    <row r="36">
      <c r="A36" s="15" t="inlineStr">
        <is>
          <t>M35</t>
        </is>
      </c>
      <c r="B36" s="15" t="inlineStr">
        <is>
          <t>Плитка Tribeca Sage Green 6×24,6 на стены (PL-1)</t>
        </is>
      </c>
      <c r="C36" s="15" t="inlineStr">
        <is>
          <t>м²</t>
        </is>
      </c>
      <c r="D36" s="21" t="inlineStr">
        <is>
          <t>лист 12: 6 м²; клей 4 кг + затирка эпокси 0,5 кг × 70 + плитка ~90 × 1,1</t>
        </is>
      </c>
      <c r="E36" s="23" t="n">
        <v>140</v>
      </c>
      <c r="F36" s="15" t="inlineStr">
        <is>
          <t>F13</t>
        </is>
      </c>
      <c r="G36" s="26">
        <f>INDEX(Ставки!$F$2:$F$139,MATCH(F36,Ставки!$A$2:$A$139,0))</f>
        <v>80.0</v>
      </c>
      <c r="H36" s="2" t="inlineStr">
        <is>
          <t>мелкий формат</t>
        </is>
      </c>
    </row>
    <row r="37">
      <c r="A37" s="15" t="inlineStr">
        <is>
          <t>M36</t>
        </is>
      </c>
      <c r="B37" s="15" t="inlineStr">
        <is>
          <t>Молдинги на стенах</t>
        </is>
      </c>
      <c r="C37" s="15" t="inlineStr">
        <is>
          <t>м.п.</t>
        </is>
      </c>
      <c r="D37" s="21" t="inlineStr">
        <is>
          <t>лист 27: 15 м.п.; полиуретан ~12/м.п. (оценка)</t>
        </is>
      </c>
      <c r="E37" s="23" t="n">
        <v>12</v>
      </c>
      <c r="F37" s="2" t="inlineStr">
        <is>
          <t>ввод</t>
        </is>
      </c>
      <c r="G37" s="23" t="n">
        <v>15</v>
      </c>
      <c r="H37" s="2" t="inlineStr">
        <is>
          <t>оценка</t>
        </is>
      </c>
    </row>
    <row r="38">
      <c r="A38" s="15" t="inlineStr">
        <is>
          <t>M37</t>
        </is>
      </c>
      <c r="B38" s="15" t="inlineStr">
        <is>
          <t>Микроцемент стены санузла (МКЦ-1) — фикс студии до 20 м², €1 120</t>
        </is>
      </c>
      <c r="C38" s="15" t="inlineStr">
        <is>
          <t>объект</t>
        </is>
      </c>
      <c r="D38" s="21" t="inlineStr">
        <is>
          <t>CLAUDE.md: фикс до 20 м²; материал 18 м² × €35 = €630, работа €490</t>
        </is>
      </c>
      <c r="E38" s="26">
        <f>630*Параметры!$B$3</f>
        <v>2172.681</v>
      </c>
      <c r="F38" s="2" t="inlineStr">
        <is>
          <t>ввод</t>
        </is>
      </c>
      <c r="G38" s="26">
        <f>490*Параметры!$B$3</f>
        <v>1689.863</v>
      </c>
      <c r="H38" s="2" t="inlineStr">
        <is>
          <t>по курсу из Параметров</t>
        </is>
      </c>
    </row>
    <row r="39">
      <c r="A39" s="15" t="inlineStr">
        <is>
          <t>M38</t>
        </is>
      </c>
      <c r="B39" s="15" t="inlineStr">
        <is>
          <t>Расходники микроцемент на объект</t>
        </is>
      </c>
      <c r="C39" s="15" t="inlineStr">
        <is>
          <t>объект</t>
        </is>
      </c>
      <c r="D39" s="21" t="inlineStr">
        <is>
          <t>CLAUDE.md: от €80</t>
        </is>
      </c>
      <c r="E39" s="26">
        <f>80*Параметры!$B$3</f>
        <v>275.896</v>
      </c>
      <c r="F39" s="2" t="inlineStr">
        <is>
          <t>ввод</t>
        </is>
      </c>
      <c r="G39" s="23" t="n">
        <v>0</v>
      </c>
      <c r="H39" s="2" t="inlineStr"/>
    </row>
    <row r="40">
      <c r="A40" s="15" t="inlineStr">
        <is>
          <t>M39</t>
        </is>
      </c>
      <c r="B40" s="15" t="inlineStr">
        <is>
          <t>Электроточка полная: розетка/выключатель/вывод (штроба + кабель + подрозетник + механизм)</t>
        </is>
      </c>
      <c r="C40" s="15" t="inlineStr">
        <is>
          <t>точка</t>
        </is>
      </c>
      <c r="D40" s="21" t="inlineStr">
        <is>
          <t>лист 9: 47+2+2 розетки, 4 RJ45, 18 выключателей, 28 выводов = 101; кабель 6 м × 4 + гофра + подрозетник + механизм Vertus ~12</t>
        </is>
      </c>
      <c r="E40" s="23" t="n">
        <v>42</v>
      </c>
      <c r="F40" s="15" t="inlineStr">
        <is>
          <t>E18</t>
        </is>
      </c>
      <c r="G40" s="26">
        <f>INDEX(Ставки!$F$2:$F$139,MATCH(F40,Ставки!$A$2:$A$139,0))</f>
        <v>90.0</v>
      </c>
      <c r="H40" s="2" t="inlineStr"/>
    </row>
    <row r="41">
      <c r="A41" s="15" t="inlineStr">
        <is>
          <t>M40</t>
        </is>
      </c>
      <c r="B41" s="15" t="inlineStr">
        <is>
          <t>Точка света (вывод + подключение светильника)</t>
        </is>
      </c>
      <c r="C41" s="15" t="inlineStr">
        <is>
          <t>шт</t>
        </is>
      </c>
      <c r="D41" s="21" t="inlineStr">
        <is>
          <t>лист 10: 44 встраиваемых + 10 подвесных/потолочных + вент. решётка; кабель 4 м</t>
        </is>
      </c>
      <c r="E41" s="23" t="n">
        <v>16</v>
      </c>
      <c r="F41" s="15" t="inlineStr">
        <is>
          <t>E07</t>
        </is>
      </c>
      <c r="G41" s="26">
        <f>INDEX(Ставки!$F$2:$F$139,MATCH(F41,Ставки!$A$2:$A$139,0))</f>
        <v>35.0</v>
      </c>
      <c r="H41" s="2" t="inlineStr"/>
    </row>
    <row r="42">
      <c r="A42" s="15" t="inlineStr">
        <is>
          <t>M41</t>
        </is>
      </c>
      <c r="B42" s="15" t="inlineStr">
        <is>
          <t>Шинопровод Flexy TREK 3 м + 4 светильника</t>
        </is>
      </c>
      <c r="C42" s="15" t="inlineStr">
        <is>
          <t>компл</t>
        </is>
      </c>
      <c r="D42" s="21" t="inlineStr">
        <is>
          <t>лист 10; монтаж трека 40/м.п. + 4 × 60</t>
        </is>
      </c>
      <c r="E42" s="23" t="n">
        <v>0</v>
      </c>
      <c r="F42" s="2" t="inlineStr">
        <is>
          <t>ввод</t>
        </is>
      </c>
      <c r="G42" s="23" t="n">
        <v>360</v>
      </c>
      <c r="H42" s="2" t="inlineStr">
        <is>
          <t>по studiya-remonta</t>
        </is>
      </c>
    </row>
    <row r="43">
      <c r="A43" s="15" t="inlineStr">
        <is>
          <t>M42</t>
        </is>
      </c>
      <c r="B43" s="15" t="inlineStr">
        <is>
          <t>LED-подсветка в профилях Laconistiq, карнизах, мебели (монтаж ленты и БП)</t>
        </is>
      </c>
      <c r="C43" s="15" t="inlineStr">
        <is>
          <t>м.п.</t>
        </is>
      </c>
      <c r="D43" s="21" t="inlineStr">
        <is>
          <t>лист 9: ~12 выводов под LED; лента + профиль ~25/м.п. (оценка)</t>
        </is>
      </c>
      <c r="E43" s="23" t="n">
        <v>25</v>
      </c>
      <c r="F43" s="15" t="inlineStr">
        <is>
          <t>E15</t>
        </is>
      </c>
      <c r="G43" s="26">
        <f>INDEX(Ставки!$F$2:$F$139,MATCH(F43,Ставки!$A$2:$A$139,0))</f>
        <v>27.0</v>
      </c>
      <c r="H43" s="2" t="inlineStr"/>
    </row>
    <row r="44">
      <c r="A44" s="15" t="inlineStr">
        <is>
          <t>M43</t>
        </is>
      </c>
      <c r="B44" s="15" t="inlineStr">
        <is>
          <t>Щит квартирный 24–36 модулей, сборка</t>
        </is>
      </c>
      <c r="C44" s="15" t="inlineStr">
        <is>
          <t>шт</t>
        </is>
      </c>
      <c r="D44" s="21" t="inlineStr">
        <is>
          <t>корпус + автоматы + УЗО/дифы + реле напряжения</t>
        </is>
      </c>
      <c r="E44" s="23" t="n">
        <v>800</v>
      </c>
      <c r="F44" s="15" t="inlineStr">
        <is>
          <t>E12</t>
        </is>
      </c>
      <c r="G44" s="26">
        <f>INDEX(Ставки!$F$2:$F$139,MATCH(F44,Ставки!$A$2:$A$139,0))</f>
        <v>900.0</v>
      </c>
      <c r="H44" s="2" t="inlineStr"/>
    </row>
    <row r="45">
      <c r="A45" s="15" t="inlineStr">
        <is>
          <t>M44</t>
        </is>
      </c>
      <c r="B45" s="15" t="inlineStr">
        <is>
          <t>Слаботочка: интернет-кабель к 4 розеткам RJ45</t>
        </is>
      </c>
      <c r="C45" s="15" t="inlineStr">
        <is>
          <t>м.п.</t>
        </is>
      </c>
      <c r="D45" s="21" t="inlineStr">
        <is>
          <t>UTP cat.6 ~1,5/м</t>
        </is>
      </c>
      <c r="E45" s="23" t="n">
        <v>1.5</v>
      </c>
      <c r="F45" s="15" t="inlineStr">
        <is>
          <t>E16</t>
        </is>
      </c>
      <c r="G45" s="26">
        <f>INDEX(Ставки!$F$2:$F$139,MATCH(F45,Ставки!$A$2:$A$139,0))</f>
        <v>4.0</v>
      </c>
      <c r="H45" s="2" t="inlineStr"/>
    </row>
    <row r="46">
      <c r="A46" s="15" t="inlineStr">
        <is>
          <t>M45</t>
        </is>
      </c>
      <c r="B46" s="15" t="inlineStr">
        <is>
          <t>Точка водоснабжения (ХВС/ГВС, PPR/PEX)</t>
        </is>
      </c>
      <c r="C46" s="15" t="inlineStr">
        <is>
          <t>точка</t>
        </is>
      </c>
      <c r="D46" s="21" t="inlineStr">
        <is>
          <t>лист 8: ванна, тропический душ, умывальник, гиг. душ, инсталляция, СМ, кухня, ПМ, бойлер = 9</t>
        </is>
      </c>
      <c r="E46" s="23" t="n">
        <v>22</v>
      </c>
      <c r="F46" s="15" t="inlineStr">
        <is>
          <t>S01</t>
        </is>
      </c>
      <c r="G46" s="26">
        <f>INDEX(Ставки!$F$2:$F$139,MATCH(F46,Ставки!$A$2:$A$139,0))</f>
        <v>70.0</v>
      </c>
      <c r="H46" s="2" t="inlineStr"/>
    </row>
    <row r="47">
      <c r="A47" s="15" t="inlineStr">
        <is>
          <t>M46</t>
        </is>
      </c>
      <c r="B47" s="15" t="inlineStr">
        <is>
          <t>Точка канализации</t>
        </is>
      </c>
      <c r="C47" s="15" t="inlineStr">
        <is>
          <t>точка</t>
        </is>
      </c>
      <c r="D47" s="21" t="inlineStr">
        <is>
          <t>лист 8: ванна, умывальник, унитаз, СМ+сушка, мойка+ПМ = 5</t>
        </is>
      </c>
      <c r="E47" s="23" t="n">
        <v>14</v>
      </c>
      <c r="F47" s="15" t="inlineStr">
        <is>
          <t>S02</t>
        </is>
      </c>
      <c r="G47" s="26">
        <f>INDEX(Ставки!$F$2:$F$139,MATCH(F47,Ставки!$A$2:$A$139,0))</f>
        <v>45.0</v>
      </c>
      <c r="H47" s="2" t="inlineStr"/>
    </row>
    <row r="48">
      <c r="A48" s="15" t="inlineStr">
        <is>
          <t>M47</t>
        </is>
      </c>
      <c r="B48" s="15" t="inlineStr">
        <is>
          <t>Узел ввода: краны, фильтры, редукторы, счётчики, коллекторы (2 стояка)</t>
        </is>
      </c>
      <c r="C48" s="15" t="inlineStr">
        <is>
          <t>компл</t>
        </is>
      </c>
      <c r="D48" s="21" t="inlineStr">
        <is>
          <t>краны 2×20 + фильтры 2×35 + редукторы 2×110 + счётчики 2×70 + коллекторы 2×150</t>
        </is>
      </c>
      <c r="E48" s="23" t="n">
        <v>770</v>
      </c>
      <c r="F48" s="2" t="inlineStr">
        <is>
          <t>ввод</t>
        </is>
      </c>
      <c r="G48" s="23" t="n">
        <v>300</v>
      </c>
      <c r="H48" s="2" t="inlineStr">
        <is>
          <t>монтаж 2 × (фильтр 70 + счётчик 75)</t>
        </is>
      </c>
    </row>
    <row r="49">
      <c r="A49" s="15" t="inlineStr">
        <is>
          <t>M48</t>
        </is>
      </c>
      <c r="B49" s="15" t="inlineStr">
        <is>
          <t>Инсталляция TECE + навеска унитаза Roca The Gap</t>
        </is>
      </c>
      <c r="C49" s="15" t="inlineStr">
        <is>
          <t>компл</t>
        </is>
      </c>
      <c r="D49" s="21" t="inlineStr">
        <is>
          <t>монтаж рамы 135 + навеска 150; сантехприборы — закупка заказчика</t>
        </is>
      </c>
      <c r="E49" s="23" t="n">
        <v>0</v>
      </c>
      <c r="F49" s="2" t="inlineStr">
        <is>
          <t>ввод</t>
        </is>
      </c>
      <c r="G49" s="23" t="n">
        <v>285</v>
      </c>
      <c r="H49" s="2" t="inlineStr"/>
    </row>
    <row r="50">
      <c r="A50" s="15" t="inlineStr">
        <is>
          <t>M49</t>
        </is>
      </c>
      <c r="B50" s="15" t="inlineStr">
        <is>
          <t>Ванна Kaldewei Eurowa 170×70 с ножками и шумоизоляцией, установка</t>
        </is>
      </c>
      <c r="C50" s="15" t="inlineStr">
        <is>
          <t>шт</t>
        </is>
      </c>
      <c r="D50" s="21" t="inlineStr">
        <is>
          <t>герметик, монтажная пена</t>
        </is>
      </c>
      <c r="E50" s="23" t="n">
        <v>20</v>
      </c>
      <c r="F50" s="15" t="inlineStr">
        <is>
          <t>S07</t>
        </is>
      </c>
      <c r="G50" s="26">
        <f>INDEX(Ставки!$F$2:$F$139,MATCH(F50,Ставки!$A$2:$A$139,0))</f>
        <v>130.0</v>
      </c>
      <c r="H50" s="2" t="inlineStr"/>
    </row>
    <row r="51">
      <c r="A51" s="15" t="inlineStr">
        <is>
          <t>M50</t>
        </is>
      </c>
      <c r="B51" s="15" t="inlineStr">
        <is>
          <t>Скрытый смеситель (раковина, гиг. душ) — встроенная + лицевая часть</t>
        </is>
      </c>
      <c r="C51" s="15" t="inlineStr">
        <is>
          <t>шт</t>
        </is>
      </c>
      <c r="D51" s="21" t="inlineStr">
        <is>
          <t>лист 26: MOZA 316L ×2</t>
        </is>
      </c>
      <c r="E51" s="23" t="n">
        <v>0</v>
      </c>
      <c r="F51" s="15" t="inlineStr">
        <is>
          <t>S11</t>
        </is>
      </c>
      <c r="G51" s="26">
        <f>INDEX(Ставки!$F$2:$F$139,MATCH(F51,Ставки!$A$2:$A$139,0))</f>
        <v>380.0</v>
      </c>
      <c r="H51" s="2" t="inlineStr"/>
    </row>
    <row r="52">
      <c r="A52" s="15" t="inlineStr">
        <is>
          <t>M51</t>
        </is>
      </c>
      <c r="B52" s="15" t="inlineStr">
        <is>
          <t>Душевая система MOZA со скрытым сливом: смеситель + трап/лоток</t>
        </is>
      </c>
      <c r="C52" s="15" t="inlineStr">
        <is>
          <t>компл</t>
        </is>
      </c>
      <c r="D52" s="21" t="inlineStr">
        <is>
          <t>скрытый смеситель 380 + трап 120</t>
        </is>
      </c>
      <c r="E52" s="23" t="n">
        <v>0</v>
      </c>
      <c r="F52" s="2" t="inlineStr">
        <is>
          <t>ввод</t>
        </is>
      </c>
      <c r="G52" s="23" t="n">
        <v>500</v>
      </c>
      <c r="H52" s="2" t="inlineStr"/>
    </row>
    <row r="53">
      <c r="A53" s="15" t="inlineStr">
        <is>
          <t>M52</t>
        </is>
      </c>
      <c r="B53" s="15" t="inlineStr">
        <is>
          <t>Смеситель кухонный, умывальник, подключение СМ/ПМ, водонагреватель проточный</t>
        </is>
      </c>
      <c r="C53" s="15" t="inlineStr">
        <is>
          <t>компл</t>
        </is>
      </c>
      <c r="D53" s="21" t="inlineStr">
        <is>
          <t>смеситель 50 + умывальник 80 + СМ/ПМ 2×50 + бойлер 180</t>
        </is>
      </c>
      <c r="E53" s="23" t="n">
        <v>30</v>
      </c>
      <c r="F53" s="2" t="inlineStr">
        <is>
          <t>ввод</t>
        </is>
      </c>
      <c r="G53" s="23" t="n">
        <v>410</v>
      </c>
      <c r="H53" s="2" t="inlineStr"/>
    </row>
    <row r="54">
      <c r="A54" s="15" t="inlineStr">
        <is>
          <t>M53</t>
        </is>
      </c>
      <c r="B54" s="15" t="inlineStr">
        <is>
          <t>Полотенцесушитель электрический Сунержа Богема, навеска</t>
        </is>
      </c>
      <c r="C54" s="15" t="inlineStr">
        <is>
          <t>шт</t>
        </is>
      </c>
      <c r="D54" s="21" t="inlineStr">
        <is>
          <t>вывод электрики в M39</t>
        </is>
      </c>
      <c r="E54" s="23" t="n">
        <v>5</v>
      </c>
      <c r="F54" s="15" t="inlineStr">
        <is>
          <t>S12</t>
        </is>
      </c>
      <c r="G54" s="26">
        <f>INDEX(Ставки!$F$2:$F$139,MATCH(F54,Ставки!$A$2:$A$139,0))</f>
        <v>120.0</v>
      </c>
      <c r="H54" s="2" t="inlineStr"/>
    </row>
    <row r="55">
      <c r="A55" s="15" t="inlineStr">
        <is>
          <t>M54</t>
        </is>
      </c>
      <c r="B55" s="15" t="inlineStr">
        <is>
          <t>Радиатор Royal Thermo Insignia, замена с подводом</t>
        </is>
      </c>
      <c r="C55" s="15" t="inlineStr">
        <is>
          <t>шт</t>
        </is>
      </c>
      <c r="D55" s="21" t="inlineStr">
        <is>
          <t>лист 4: 2 шт; подводки, краны 40</t>
        </is>
      </c>
      <c r="E55" s="23" t="n">
        <v>40</v>
      </c>
      <c r="F55" s="15" t="inlineStr">
        <is>
          <t>S15</t>
        </is>
      </c>
      <c r="G55" s="26">
        <f>INDEX(Ставки!$F$2:$F$139,MATCH(F55,Ставки!$A$2:$A$139,0))</f>
        <v>150.0</v>
      </c>
      <c r="H55" s="2" t="inlineStr"/>
    </row>
    <row r="56">
      <c r="A56" s="15" t="inlineStr">
        <is>
          <t>M55</t>
        </is>
      </c>
      <c r="B56" s="15" t="inlineStr">
        <is>
          <t>Шумоизоляция стояков и термоизоляция труб ХВС/ГВС</t>
        </is>
      </c>
      <c r="C56" s="15" t="inlineStr">
        <is>
          <t>компл</t>
        </is>
      </c>
      <c r="D56" s="21" t="inlineStr">
        <is>
          <t>лист 8 п. 7; изоляция ~60</t>
        </is>
      </c>
      <c r="E56" s="23" t="n">
        <v>60</v>
      </c>
      <c r="F56" s="2" t="inlineStr">
        <is>
          <t>ввод</t>
        </is>
      </c>
      <c r="G56" s="23" t="n">
        <v>160</v>
      </c>
      <c r="H56" s="2" t="inlineStr">
        <is>
          <t>по studiya-remonta</t>
        </is>
      </c>
    </row>
    <row r="57">
      <c r="A57" s="15" t="inlineStr">
        <is>
          <t>M56</t>
        </is>
      </c>
      <c r="B57" s="15" t="inlineStr">
        <is>
          <t>Установка межкомнатных дверей (ДВ-1 700 ×1, ДВ-2 800 ×2)</t>
        </is>
      </c>
      <c r="C57" s="15" t="inlineStr">
        <is>
          <t>шт</t>
        </is>
      </c>
      <c r="D57" s="21" t="inlineStr">
        <is>
          <t>лист 21; полотна с коробками — закупка (homeporte)</t>
        </is>
      </c>
      <c r="E57" s="23" t="n">
        <v>15</v>
      </c>
      <c r="F57" s="15" t="inlineStr">
        <is>
          <t>X10</t>
        </is>
      </c>
      <c r="G57" s="26">
        <f>INDEX(Ставки!$F$2:$F$139,MATCH(F57,Ставки!$A$2:$A$139,0))</f>
        <v>118.0</v>
      </c>
      <c r="H57" s="2" t="inlineStr"/>
    </row>
    <row r="58">
      <c r="A58" s="15" t="inlineStr">
        <is>
          <t>M57</t>
        </is>
      </c>
      <c r="B58" s="15" t="inlineStr">
        <is>
          <t>Установка входной двери</t>
        </is>
      </c>
      <c r="C58" s="15" t="inlineStr">
        <is>
          <t>шт</t>
        </is>
      </c>
      <c r="D58" s="21" t="inlineStr">
        <is>
          <t>лист 26: joinery.by; пена, анкеры</t>
        </is>
      </c>
      <c r="E58" s="23" t="n">
        <v>25</v>
      </c>
      <c r="F58" s="15" t="inlineStr">
        <is>
          <t>X13</t>
        </is>
      </c>
      <c r="G58" s="26">
        <f>INDEX(Ставки!$F$2:$F$139,MATCH(F58,Ставки!$A$2:$A$139,0))</f>
        <v>110.0</v>
      </c>
      <c r="H58" s="2" t="inlineStr"/>
    </row>
    <row r="59">
      <c r="A59" s="15" t="inlineStr">
        <is>
          <t>M58</t>
        </is>
      </c>
      <c r="B59" s="15" t="inlineStr">
        <is>
          <t>Уборка после ремонта</t>
        </is>
      </c>
      <c r="C59" s="15" t="inlineStr">
        <is>
          <t>м²</t>
        </is>
      </c>
      <c r="D59" s="21" t="inlineStr"/>
      <c r="E59" s="23" t="n">
        <v>0</v>
      </c>
      <c r="F59" s="15" t="inlineStr">
        <is>
          <t>O04</t>
        </is>
      </c>
      <c r="G59" s="26">
        <f>INDEX(Ставки!$F$2:$F$139,MATCH(F59,Ставки!$A$2:$A$139,0))</f>
        <v>4.5</v>
      </c>
      <c r="H59" s="2" t="inlineStr"/>
    </row>
    <row r="61">
      <c r="A61" s="2" t="inlineStr">
        <is>
          <t>Материал — розница Минска 27.09.2026 по расходу из техкарт, без запаса. Чистовые материалы заказчика (плитка, LVT, обои, Marmorino) — ориентировочные цены, помечены «оценка»; заменить на счета поставщиков.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8" customWidth="1" min="3" max="3"/>
    <col width="80" customWidth="1" min="4" max="4"/>
  </cols>
  <sheetData>
    <row r="1">
      <c r="A1" s="12" t="inlineStr">
        <is>
          <t>Ведомость объёмов — Миля 9 (по листам проекта; площади — экспликация листа 5)</t>
        </is>
      </c>
    </row>
    <row r="2">
      <c r="A2" s="22" t="inlineStr">
        <is>
          <t>Показатель</t>
        </is>
      </c>
      <c r="B2" s="22" t="inlineStr">
        <is>
          <t>Значение</t>
        </is>
      </c>
      <c r="C2" s="22" t="inlineStr">
        <is>
          <t>Ед.</t>
        </is>
      </c>
      <c r="D2" s="22" t="inlineStr">
        <is>
          <t>Основание</t>
        </is>
      </c>
    </row>
    <row r="3">
      <c r="A3" s="15" t="inlineStr">
        <is>
          <t>Прихожая</t>
        </is>
      </c>
      <c r="B3" s="23" t="n">
        <v>5.69</v>
      </c>
      <c r="C3" s="15" t="inlineStr">
        <is>
          <t>м²</t>
        </is>
      </c>
      <c r="D3" s="2" t="inlineStr">
        <is>
          <t>лист 5</t>
        </is>
      </c>
    </row>
    <row r="4">
      <c r="A4" s="15" t="inlineStr">
        <is>
          <t>Санузел</t>
        </is>
      </c>
      <c r="B4" s="23" t="n">
        <v>4.78</v>
      </c>
      <c r="C4" s="15" t="inlineStr">
        <is>
          <t>м²</t>
        </is>
      </c>
      <c r="D4" s="2" t="inlineStr">
        <is>
          <t>лист 5</t>
        </is>
      </c>
    </row>
    <row r="5">
      <c r="A5" s="15" t="inlineStr">
        <is>
          <t>Спальня</t>
        </is>
      </c>
      <c r="B5" s="23" t="n">
        <v>10.5</v>
      </c>
      <c r="C5" s="15" t="inlineStr">
        <is>
          <t>м²</t>
        </is>
      </c>
      <c r="D5" s="2" t="inlineStr">
        <is>
          <t>лист 5</t>
        </is>
      </c>
    </row>
    <row r="6">
      <c r="A6" s="15" t="inlineStr">
        <is>
          <t>Детская</t>
        </is>
      </c>
      <c r="B6" s="23" t="n">
        <v>13.76</v>
      </c>
      <c r="C6" s="15" t="inlineStr">
        <is>
          <t>м²</t>
        </is>
      </c>
      <c r="D6" s="2" t="inlineStr">
        <is>
          <t>лист 5</t>
        </is>
      </c>
    </row>
    <row r="7">
      <c r="A7" s="15" t="inlineStr">
        <is>
          <t>Кухня-гостиная</t>
        </is>
      </c>
      <c r="B7" s="23" t="n">
        <v>19.15</v>
      </c>
      <c r="C7" s="15" t="inlineStr">
        <is>
          <t>м²</t>
        </is>
      </c>
      <c r="D7" s="2" t="inlineStr">
        <is>
          <t>лист 5</t>
        </is>
      </c>
    </row>
    <row r="8">
      <c r="A8" s="15" t="inlineStr">
        <is>
          <t>Балкон</t>
        </is>
      </c>
      <c r="B8" s="23" t="n">
        <v>3.15</v>
      </c>
      <c r="C8" s="15" t="inlineStr">
        <is>
          <t>м²</t>
        </is>
      </c>
      <c r="D8" s="2" t="inlineStr">
        <is>
          <t>лист 5</t>
        </is>
      </c>
    </row>
    <row r="9">
      <c r="A9" s="15" t="inlineStr">
        <is>
          <t>Площадь без балкона</t>
        </is>
      </c>
      <c r="B9" s="16">
        <f>SUM(B3:B7)</f>
        <v>53.88</v>
      </c>
      <c r="C9" s="15" t="inlineStr">
        <is>
          <t>м²</t>
        </is>
      </c>
      <c r="D9" s="2" t="inlineStr">
        <is>
          <t>расчёт</t>
        </is>
      </c>
    </row>
    <row r="10">
      <c r="A10" s="15" t="inlineStr">
        <is>
          <t>Площадь с балконом</t>
        </is>
      </c>
      <c r="B10" s="16">
        <f>SUM(B3:B8)</f>
        <v>57.03</v>
      </c>
      <c r="C10" s="15" t="inlineStr">
        <is>
          <t>м²</t>
        </is>
      </c>
      <c r="D10" s="2" t="inlineStr">
        <is>
          <t>расчёт</t>
        </is>
      </c>
    </row>
    <row r="11">
      <c r="A11" s="15" t="inlineStr">
        <is>
          <t>Демонтаж перегородок и проёмы</t>
        </is>
      </c>
      <c r="B11" s="16">
        <f>(0.28+0.5+0.26+0.05)*Параметры!$B$11+0.8*2.1+0.9*2.1</f>
        <v>6.5457</v>
      </c>
      <c r="C11" s="15" t="inlineStr">
        <is>
          <t>м²</t>
        </is>
      </c>
      <c r="D11" s="2" t="inlineStr">
        <is>
          <t>лист 3; лист 4 «возводимый дверной проём» 800 и 900</t>
        </is>
      </c>
    </row>
    <row r="12">
      <c r="A12" s="15" t="inlineStr">
        <is>
          <t>Новые перегородки 120 мм</t>
        </is>
      </c>
      <c r="B12" s="23" t="n">
        <v>5.5</v>
      </c>
      <c r="C12" s="15" t="inlineStr">
        <is>
          <t>м²</t>
        </is>
      </c>
      <c r="D12" s="2" t="inlineStr">
        <is>
          <t>лист 4: S=5,5, V=0,66 м³</t>
        </is>
      </c>
    </row>
    <row r="13">
      <c r="A13" s="15" t="inlineStr">
        <is>
          <t>Новые перегородки 100 мм</t>
        </is>
      </c>
      <c r="B13" s="23" t="n">
        <v>11.67</v>
      </c>
      <c r="C13" s="15" t="inlineStr">
        <is>
          <t>м²</t>
        </is>
      </c>
      <c r="D13" s="2" t="inlineStr">
        <is>
          <t>лист 4: S=11,67, V=1,167 м³</t>
        </is>
      </c>
    </row>
    <row r="14">
      <c r="A14" s="15" t="inlineStr">
        <is>
          <t>Штукатурка новых перегородок (обе стороны, минус проём 900)</t>
        </is>
      </c>
      <c r="B14" s="16">
        <f>(B12+B13)*2-0.9*2.1</f>
        <v>32.45</v>
      </c>
      <c r="C14" s="15" t="inlineStr">
        <is>
          <t>м²</t>
        </is>
      </c>
      <c r="D14" s="2" t="inlineStr">
        <is>
          <t>по указанию: штукатурим только возведённые стены</t>
        </is>
      </c>
    </row>
    <row r="15">
      <c r="A15" s="15" t="inlineStr">
        <is>
          <t>Отделка стен всего по проекту</t>
        </is>
      </c>
      <c r="B15" s="16">
        <f>B16+B17+B18+B19+B20+B21</f>
        <v>175.95</v>
      </c>
      <c r="C15" s="15" t="inlineStr">
        <is>
          <t>м²</t>
        </is>
      </c>
      <c r="D15" s="2" t="inlineStr">
        <is>
          <t>лист 12, легенда; включает откосы и двери-невидимки</t>
        </is>
      </c>
    </row>
    <row r="16">
      <c r="A16" s="15" t="inlineStr">
        <is>
          <t xml:space="preserve">  ДК-1 Marmorino</t>
        </is>
      </c>
      <c r="B16" s="23" t="n">
        <v>61</v>
      </c>
      <c r="C16" s="15" t="inlineStr">
        <is>
          <t>м²</t>
        </is>
      </c>
      <c r="D16" s="2" t="inlineStr">
        <is>
          <t>лист 12</t>
        </is>
      </c>
    </row>
    <row r="17">
      <c r="A17" s="15" t="inlineStr">
        <is>
          <t xml:space="preserve">  УСЛ-1 покраска MAV</t>
        </is>
      </c>
      <c r="B17" s="23" t="n">
        <v>50</v>
      </c>
      <c r="C17" s="15" t="inlineStr">
        <is>
          <t>м²</t>
        </is>
      </c>
      <c r="D17" s="2" t="inlineStr">
        <is>
          <t>лист 12</t>
        </is>
      </c>
    </row>
    <row r="18">
      <c r="A18" s="15" t="inlineStr">
        <is>
          <t xml:space="preserve">  ОБ-1 обои Grandeco</t>
        </is>
      </c>
      <c r="B18" s="23" t="n">
        <v>23.5</v>
      </c>
      <c r="C18" s="15" t="inlineStr">
        <is>
          <t>м²</t>
        </is>
      </c>
      <c r="D18" s="2" t="inlineStr">
        <is>
          <t>лист 12</t>
        </is>
      </c>
    </row>
    <row r="19">
      <c r="A19" s="15" t="inlineStr">
        <is>
          <t xml:space="preserve">  ФО-1 + ФО-2 фотообои</t>
        </is>
      </c>
      <c r="B19" s="16">
        <f>4.65+12.8</f>
        <v>17.45</v>
      </c>
      <c r="C19" s="15" t="inlineStr">
        <is>
          <t>м²</t>
        </is>
      </c>
      <c r="D19" s="2" t="inlineStr">
        <is>
          <t>лист 12</t>
        </is>
      </c>
    </row>
    <row r="20">
      <c r="A20" s="15" t="inlineStr">
        <is>
          <t xml:space="preserve">  PL-1 плитка Tribeca</t>
        </is>
      </c>
      <c r="B20" s="23" t="n">
        <v>6</v>
      </c>
      <c r="C20" s="15" t="inlineStr">
        <is>
          <t>м²</t>
        </is>
      </c>
      <c r="D20" s="2" t="inlineStr">
        <is>
          <t>лист 12</t>
        </is>
      </c>
    </row>
    <row r="21">
      <c r="A21" s="15" t="inlineStr">
        <is>
          <t xml:space="preserve">  МКЦ-1 микроцемент</t>
        </is>
      </c>
      <c r="B21" s="23" t="n">
        <v>18</v>
      </c>
      <c r="C21" s="15" t="inlineStr">
        <is>
          <t>м²</t>
        </is>
      </c>
      <c r="D21" s="2" t="inlineStr">
        <is>
          <t>лист 12</t>
        </is>
      </c>
    </row>
    <row r="22">
      <c r="A22" s="15" t="inlineStr">
        <is>
          <t>Шпаклёвка Q3 (под покраску и Marmorino)</t>
        </is>
      </c>
      <c r="B22" s="16">
        <f>B16+B17</f>
        <v>111.0</v>
      </c>
      <c r="C22" s="15" t="inlineStr">
        <is>
          <t>м²</t>
        </is>
      </c>
      <c r="D22" s="2" t="inlineStr">
        <is>
          <t>расчёт</t>
        </is>
      </c>
    </row>
    <row r="23">
      <c r="A23" s="15" t="inlineStr">
        <is>
          <t>Шпаклёвка Q2 (под обои и фотообои)</t>
        </is>
      </c>
      <c r="B23" s="16">
        <f>B18+B19</f>
        <v>40.95</v>
      </c>
      <c r="C23" s="15" t="inlineStr">
        <is>
          <t>м²</t>
        </is>
      </c>
      <c r="D23" s="2" t="inlineStr">
        <is>
          <t>расчёт</t>
        </is>
      </c>
    </row>
    <row r="24">
      <c r="A24" s="15" t="inlineStr">
        <is>
          <t>Откосы окон и балконной двери</t>
        </is>
      </c>
      <c r="B24" s="23" t="n">
        <v>20</v>
      </c>
      <c r="C24" s="15" t="inlineStr">
        <is>
          <t>м.п.</t>
        </is>
      </c>
      <c r="D24" s="2" t="inlineStr">
        <is>
          <t>оценка: 3 окна ≈ 1,75+1,74+1,73 м × (2 × 1,4 + ширина) + балконная дверь</t>
        </is>
      </c>
    </row>
    <row r="25">
      <c r="A25" s="15" t="inlineStr">
        <is>
          <t>Клеевой винил Quick-Step (без запаса)</t>
        </is>
      </c>
      <c r="B25" s="23" t="n">
        <v>49</v>
      </c>
      <c r="C25" s="15" t="inlineStr">
        <is>
          <t>м²</t>
        </is>
      </c>
      <c r="D25" s="2" t="inlineStr">
        <is>
          <t>лист 14</t>
        </is>
      </c>
    </row>
    <row r="26">
      <c r="A26" s="15" t="inlineStr">
        <is>
          <t>Самонивелир 10 мм под винил</t>
        </is>
      </c>
      <c r="B26" s="16">
        <f>B25</f>
        <v>49.0</v>
      </c>
      <c r="C26" s="15" t="inlineStr">
        <is>
          <t>м²</t>
        </is>
      </c>
      <c r="D26" s="2" t="inlineStr">
        <is>
          <t>лист 14, узел V1</t>
        </is>
      </c>
    </row>
    <row r="27">
      <c r="A27" s="15" t="inlineStr">
        <is>
          <t>Керамогранит пол санузла</t>
        </is>
      </c>
      <c r="B27" s="16">
        <f>B4</f>
        <v>4.78</v>
      </c>
      <c r="C27" s="15" t="inlineStr">
        <is>
          <t>м²</t>
        </is>
      </c>
      <c r="D27" s="2" t="inlineStr">
        <is>
          <t>лист 14: Argenta 120×60, 6 шт</t>
        </is>
      </c>
    </row>
    <row r="28">
      <c r="A28" s="15" t="inlineStr">
        <is>
          <t>Керамогранит у входа Ponza 200×200</t>
        </is>
      </c>
      <c r="B28" s="16">
        <f>50*0.04</f>
        <v>2.0</v>
      </c>
      <c r="C28" s="15" t="inlineStr">
        <is>
          <t>м²</t>
        </is>
      </c>
      <c r="D28" s="2" t="inlineStr">
        <is>
          <t>лист 14: 50 шт</t>
        </is>
      </c>
    </row>
    <row r="29">
      <c r="A29" s="15" t="inlineStr">
        <is>
          <t>Гидроизоляция санузла</t>
        </is>
      </c>
      <c r="B29" s="16">
        <f>B4+9*0.3+2*1.4*2</f>
        <v>13.08</v>
      </c>
      <c r="C29" s="15" t="inlineStr">
        <is>
          <t>м²</t>
        </is>
      </c>
      <c r="D29" s="2" t="inlineStr">
        <is>
          <t>пол + 300 мм по периметру + душевая зона до 2 м</t>
        </is>
      </c>
    </row>
    <row r="30">
      <c r="A30" s="15" t="inlineStr">
        <is>
          <t>Тёплый пол электрический</t>
        </is>
      </c>
      <c r="B30" s="16">
        <f>2.14+0.63</f>
        <v>2.77</v>
      </c>
      <c r="C30" s="15" t="inlineStr">
        <is>
          <t>м²</t>
        </is>
      </c>
      <c r="D30" s="2" t="inlineStr">
        <is>
          <t>лист 13; балкон 2,2 м² исключён (п. 8 примечаний — незаконно)</t>
        </is>
      </c>
    </row>
    <row r="31">
      <c r="A31" s="15" t="inlineStr">
        <is>
          <t>Плинтус МДФ</t>
        </is>
      </c>
      <c r="B31" s="16">
        <f>17*2.07</f>
        <v>35.19</v>
      </c>
      <c r="C31" s="15" t="inlineStr">
        <is>
          <t>м.п.</t>
        </is>
      </c>
      <c r="D31" s="2" t="inlineStr">
        <is>
          <t>лист 26: 17 шт по 2,07 м</t>
        </is>
      </c>
    </row>
    <row r="32">
      <c r="A32" s="15" t="inlineStr">
        <is>
          <t>Натяжной потолок</t>
        </is>
      </c>
      <c r="B32" s="23" t="n">
        <v>45</v>
      </c>
      <c r="C32" s="15" t="inlineStr">
        <is>
          <t>м²</t>
        </is>
      </c>
      <c r="D32" s="2" t="inlineStr">
        <is>
          <t>лист 17</t>
        </is>
      </c>
    </row>
    <row r="33">
      <c r="A33" s="15" t="inlineStr">
        <is>
          <t>Теневой профиль по периметру</t>
        </is>
      </c>
      <c r="B33" s="23" t="n">
        <v>58</v>
      </c>
      <c r="C33" s="15" t="inlineStr">
        <is>
          <t>м.п.</t>
        </is>
      </c>
      <c r="D33" s="2" t="inlineStr">
        <is>
          <t>оценка по периметрам комнат минус мебельные зоны</t>
        </is>
      </c>
    </row>
    <row r="34">
      <c r="A34" s="15" t="inlineStr">
        <is>
          <t>Карнизные ниши LumFer</t>
        </is>
      </c>
      <c r="B34" s="23" t="n">
        <v>9</v>
      </c>
      <c r="C34" s="15" t="inlineStr">
        <is>
          <t>м.п.</t>
        </is>
      </c>
      <c r="D34" s="2" t="inlineStr">
        <is>
          <t>лист 17: SK Magnum 9 м.п.</t>
        </is>
      </c>
    </row>
    <row r="35">
      <c r="A35" s="15" t="inlineStr">
        <is>
          <t>Электроточки (розетки, выключатели, выводы, RJ45)</t>
        </is>
      </c>
      <c r="B35" s="16">
        <f>47+2+2+3+1+7+3+2+1+2+3+28</f>
        <v>101.0</v>
      </c>
      <c r="C35" s="15" t="inlineStr">
        <is>
          <t>точка</t>
        </is>
      </c>
      <c r="D35" s="2" t="inlineStr">
        <is>
          <t>лист 9, спецификация</t>
        </is>
      </c>
    </row>
    <row r="36">
      <c r="A36" s="15" t="inlineStr">
        <is>
          <t>Точки света</t>
        </is>
      </c>
      <c r="B36" s="16">
        <f>44+1+1+1+1+6+1</f>
        <v>55.0</v>
      </c>
      <c r="C36" s="15" t="inlineStr">
        <is>
          <t>шт</t>
        </is>
      </c>
      <c r="D36" s="2" t="inlineStr">
        <is>
          <t>лист 10, спецификация (без трека)</t>
        </is>
      </c>
    </row>
    <row r="37">
      <c r="A37" s="15" t="inlineStr">
        <is>
          <t>Точки водоснабжения</t>
        </is>
      </c>
      <c r="B37" s="23" t="n">
        <v>9</v>
      </c>
      <c r="C37" s="15" t="inlineStr">
        <is>
          <t>точка</t>
        </is>
      </c>
      <c r="D37" s="2" t="inlineStr">
        <is>
          <t>лист 8</t>
        </is>
      </c>
    </row>
    <row r="38">
      <c r="A38" s="15" t="inlineStr">
        <is>
          <t>Точки канализации</t>
        </is>
      </c>
      <c r="B38" s="23" t="n">
        <v>5</v>
      </c>
      <c r="C38" s="15" t="inlineStr">
        <is>
          <t>точка</t>
        </is>
      </c>
      <c r="D38" s="2" t="inlineStr">
        <is>
          <t>лист 8</t>
        </is>
      </c>
    </row>
    <row r="39">
      <c r="A39" s="15" t="inlineStr">
        <is>
          <t>Молдинги</t>
        </is>
      </c>
      <c r="B39" s="23" t="n">
        <v>15</v>
      </c>
      <c r="C39" s="15" t="inlineStr">
        <is>
          <t>м.п.</t>
        </is>
      </c>
      <c r="D39" s="2" t="inlineStr">
        <is>
          <t>лист 27</t>
        </is>
      </c>
    </row>
    <row r="40">
      <c r="A40" s="15" t="inlineStr">
        <is>
          <t>Двери межкомнатные</t>
        </is>
      </c>
      <c r="B40" s="23" t="n">
        <v>3</v>
      </c>
      <c r="C40" s="15" t="inlineStr">
        <is>
          <t>шт</t>
        </is>
      </c>
      <c r="D40" s="2" t="inlineStr">
        <is>
          <t>лист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2026-09-27T20:46:51Z</dcterms:created>
  <dcterms:modified xsi:type="dcterms:W3CDTF">2026-09-27T20:46:51Z</dcterms:modified>
</cp:coreProperties>
</file>